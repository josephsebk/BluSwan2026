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/Downloads/Antigravity/"/>
    </mc:Choice>
  </mc:AlternateContent>
  <xr:revisionPtr revIDLastSave="0" documentId="13_ncr:1_{6E51AFDD-FC42-DC4C-BCB2-0FCA7F8B5A7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Meeting List" sheetId="1" r:id="rId1"/>
    <sheet name="Invetsor View" sheetId="2" r:id="rId2"/>
    <sheet name="Founder View" sheetId="3" r:id="rId3"/>
    <sheet name="Work" sheetId="4" r:id="rId4"/>
    <sheet name="Attendance Sheet" sheetId="5" r:id="rId5"/>
    <sheet name="Investor Preferences" sheetId="6" r:id="rId6"/>
    <sheet name="Summary" sheetId="7" r:id="rId7"/>
    <sheet name="Long List" sheetId="8" r:id="rId8"/>
  </sheets>
  <definedNames>
    <definedName name="_xlnm._FilterDatabase" localSheetId="7" hidden="1">'Long List'!$A$1:$C$128</definedName>
    <definedName name="_xlnm._FilterDatabase" localSheetId="0" hidden="1">'Meeting List'!$A$1:$J$43</definedName>
  </definedNames>
  <calcPr calcId="191029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3" l="1"/>
  <c r="G29" i="3"/>
  <c r="F29" i="3"/>
  <c r="E29" i="3"/>
  <c r="D29" i="3"/>
  <c r="I28" i="3"/>
  <c r="H27" i="3"/>
  <c r="G27" i="3"/>
  <c r="F27" i="3"/>
  <c r="E27" i="3"/>
  <c r="D27" i="3"/>
  <c r="I26" i="3"/>
  <c r="H25" i="3"/>
  <c r="G25" i="3"/>
  <c r="F25" i="3"/>
  <c r="E25" i="3"/>
  <c r="D25" i="3"/>
  <c r="I24" i="3"/>
  <c r="H23" i="3"/>
  <c r="G23" i="3"/>
  <c r="F23" i="3"/>
  <c r="E23" i="3"/>
  <c r="D23" i="3"/>
  <c r="I22" i="3"/>
  <c r="H21" i="3"/>
  <c r="G21" i="3"/>
  <c r="F21" i="3"/>
  <c r="E21" i="3"/>
  <c r="D21" i="3"/>
  <c r="I20" i="3"/>
  <c r="H19" i="3"/>
  <c r="G19" i="3"/>
  <c r="F19" i="3"/>
  <c r="E19" i="3"/>
  <c r="D19" i="3"/>
  <c r="I18" i="3"/>
  <c r="H17" i="3"/>
  <c r="G17" i="3"/>
  <c r="F17" i="3"/>
  <c r="E17" i="3"/>
  <c r="D17" i="3"/>
  <c r="I16" i="3"/>
  <c r="H15" i="3"/>
  <c r="G15" i="3"/>
  <c r="F15" i="3"/>
  <c r="E15" i="3"/>
  <c r="D15" i="3"/>
  <c r="I14" i="3"/>
  <c r="H13" i="3"/>
  <c r="G13" i="3"/>
  <c r="F13" i="3"/>
  <c r="E13" i="3"/>
  <c r="D13" i="3"/>
  <c r="I12" i="3"/>
  <c r="H11" i="3"/>
  <c r="G11" i="3"/>
  <c r="F11" i="3"/>
  <c r="E11" i="3"/>
  <c r="D11" i="3"/>
  <c r="I10" i="3"/>
  <c r="H9" i="3"/>
  <c r="G9" i="3"/>
  <c r="F9" i="3"/>
  <c r="E9" i="3"/>
  <c r="D9" i="3"/>
  <c r="I8" i="3"/>
  <c r="H7" i="3"/>
  <c r="G7" i="3"/>
  <c r="F7" i="3"/>
  <c r="E7" i="3"/>
  <c r="D7" i="3"/>
  <c r="I6" i="3"/>
  <c r="H5" i="3"/>
  <c r="G5" i="3"/>
  <c r="F5" i="3"/>
  <c r="E5" i="3"/>
  <c r="D5" i="3"/>
  <c r="I4" i="3"/>
  <c r="H3" i="3"/>
  <c r="G3" i="3"/>
  <c r="F3" i="3"/>
  <c r="E3" i="3"/>
  <c r="D3" i="3"/>
  <c r="I2" i="3"/>
  <c r="K23" i="2"/>
  <c r="K22" i="2"/>
  <c r="K21" i="2"/>
  <c r="K19" i="2"/>
  <c r="K16" i="2"/>
  <c r="K15" i="2"/>
  <c r="K14" i="2"/>
  <c r="K13" i="2"/>
  <c r="K11" i="2"/>
  <c r="K10" i="2"/>
  <c r="K8" i="2"/>
  <c r="K4" i="2"/>
  <c r="K2" i="2"/>
  <c r="K27" i="2" l="1"/>
</calcChain>
</file>

<file path=xl/sharedStrings.xml><?xml version="1.0" encoding="utf-8"?>
<sst xmlns="http://schemas.openxmlformats.org/spreadsheetml/2006/main" count="1346" uniqueCount="313">
  <si>
    <t>Sr No.</t>
  </si>
  <si>
    <t>Timeslot</t>
  </si>
  <si>
    <t>Investor (Fund)</t>
  </si>
  <si>
    <t>Investor Rep</t>
  </si>
  <si>
    <t>Founder (Company)</t>
  </si>
  <si>
    <t>Founder Name</t>
  </si>
  <si>
    <t>Room / Location</t>
  </si>
  <si>
    <t>Founder Runner</t>
  </si>
  <si>
    <t>Investor Runner</t>
  </si>
  <si>
    <t xml:space="preserve">Meeting Started (yes / no) </t>
  </si>
  <si>
    <t>Status</t>
  </si>
  <si>
    <t>Started At</t>
  </si>
  <si>
    <t>Started By</t>
  </si>
  <si>
    <t>2:30–3:00</t>
  </si>
  <si>
    <t>Evolvence Equity Partners</t>
  </si>
  <si>
    <t>Anoushka</t>
  </si>
  <si>
    <t>IDfy</t>
  </si>
  <si>
    <t>Ashok</t>
  </si>
  <si>
    <t>FF-Introspect</t>
  </si>
  <si>
    <t>Sumangal</t>
  </si>
  <si>
    <t>Apurva</t>
  </si>
  <si>
    <t>IFC</t>
  </si>
  <si>
    <t>Shalabh Tandon</t>
  </si>
  <si>
    <t>TestMu (formerly Lambdatest)</t>
  </si>
  <si>
    <t>Asad</t>
  </si>
  <si>
    <t>GF-Navigate</t>
  </si>
  <si>
    <t>Udayan</t>
  </si>
  <si>
    <t>Neo Secondaries Fund</t>
  </si>
  <si>
    <t>Nitin Agarwal</t>
  </si>
  <si>
    <t>Cashify</t>
  </si>
  <si>
    <t>Mandeep</t>
  </si>
  <si>
    <t>FF-Aspire</t>
  </si>
  <si>
    <t>Nippon India</t>
  </si>
  <si>
    <t>Ankit Agarwal</t>
  </si>
  <si>
    <t>Aerem</t>
  </si>
  <si>
    <t>Anand</t>
  </si>
  <si>
    <t>GF-Library</t>
  </si>
  <si>
    <t>Yash</t>
  </si>
  <si>
    <t>Oman Investment Authority</t>
  </si>
  <si>
    <t>Ali Abdulhussain</t>
  </si>
  <si>
    <t>iDO Devices</t>
  </si>
  <si>
    <t>Ashita</t>
  </si>
  <si>
    <t>GF-Clout</t>
  </si>
  <si>
    <t>Pavilion Capital</t>
  </si>
  <si>
    <t>Khor Boon How</t>
  </si>
  <si>
    <t>Optimo Loans</t>
  </si>
  <si>
    <t>Prashant</t>
  </si>
  <si>
    <t>FF-Ponder</t>
  </si>
  <si>
    <t>Transpose Platform</t>
  </si>
  <si>
    <t>Fiyin Olayisade</t>
  </si>
  <si>
    <t>Squad</t>
  </si>
  <si>
    <t>Apurv</t>
  </si>
  <si>
    <t>Transsion</t>
  </si>
  <si>
    <t>George Li</t>
  </si>
  <si>
    <t>Stage</t>
  </si>
  <si>
    <t>Vinay</t>
  </si>
  <si>
    <t>FF-Library</t>
  </si>
  <si>
    <t>Unilever Ventures</t>
  </si>
  <si>
    <t>Pawan Chaturvedi</t>
  </si>
  <si>
    <t>SuperK</t>
  </si>
  <si>
    <t>Neeraj</t>
  </si>
  <si>
    <t>FF-Buzz</t>
  </si>
  <si>
    <t>Prosperity 7</t>
  </si>
  <si>
    <t>Balsam Alsaif</t>
  </si>
  <si>
    <t>Optimized Electrotech</t>
  </si>
  <si>
    <t>Sandeep</t>
  </si>
  <si>
    <t>GF-LAZE</t>
  </si>
  <si>
    <t>GIC</t>
  </si>
  <si>
    <t>Anand Khetan</t>
  </si>
  <si>
    <t>Confido</t>
  </si>
  <si>
    <t>3:00–3:30</t>
  </si>
  <si>
    <t>Gaurav Jain</t>
  </si>
  <si>
    <t>FF-Curate</t>
  </si>
  <si>
    <t>Spinny</t>
  </si>
  <si>
    <t>Niraj</t>
  </si>
  <si>
    <t>Virohan</t>
  </si>
  <si>
    <t>Kunaal</t>
  </si>
  <si>
    <t>Euler Motors</t>
  </si>
  <si>
    <t>Sourav</t>
  </si>
  <si>
    <t>3:30–4:00</t>
  </si>
  <si>
    <t>smallcase</t>
  </si>
  <si>
    <t>Vasanth</t>
  </si>
  <si>
    <t>Mirabilis Investment Trust</t>
  </si>
  <si>
    <t>Boris DSouza</t>
  </si>
  <si>
    <t>FF-Balance</t>
  </si>
  <si>
    <t>4:00–4:30</t>
  </si>
  <si>
    <t>UTEC</t>
  </si>
  <si>
    <t>4:30–5:00</t>
  </si>
  <si>
    <t>Runner</t>
  </si>
  <si>
    <t>Fund Name</t>
  </si>
  <si>
    <t>Fund Representative</t>
  </si>
  <si>
    <t>Room</t>
  </si>
  <si>
    <t># of Meetings</t>
  </si>
  <si>
    <t>Mailed on 07022026</t>
  </si>
  <si>
    <t>A-IDfy</t>
  </si>
  <si>
    <t>A-smallcase</t>
  </si>
  <si>
    <t>B-Optimized Electrotech</t>
  </si>
  <si>
    <t>Y</t>
  </si>
  <si>
    <t>A-TestMu (formerly Lambdatest)</t>
  </si>
  <si>
    <t>A-iDO Devices</t>
  </si>
  <si>
    <t>Y - had mailed on 06/02/2026</t>
  </si>
  <si>
    <t>Treasa Mathew</t>
  </si>
  <si>
    <t>R. Hirawat</t>
  </si>
  <si>
    <t>Gordon Chan</t>
  </si>
  <si>
    <t>A-Cashify</t>
  </si>
  <si>
    <t>A-Euler Motors</t>
  </si>
  <si>
    <t>Mahmoud Al Khatri</t>
  </si>
  <si>
    <t>A-Spinny</t>
  </si>
  <si>
    <t>A-Optimo Loans</t>
  </si>
  <si>
    <t>A-Squad</t>
  </si>
  <si>
    <t>B-Aerem</t>
  </si>
  <si>
    <t>Sam</t>
  </si>
  <si>
    <t>B-Virohan</t>
  </si>
  <si>
    <t>B-Stage</t>
  </si>
  <si>
    <t>Catamaran</t>
  </si>
  <si>
    <t>Sheetal Bhat</t>
  </si>
  <si>
    <t>B-SuperK</t>
  </si>
  <si>
    <t>Devesh Papney</t>
  </si>
  <si>
    <t>Priyanka Thakkar</t>
  </si>
  <si>
    <t>Shashank P S</t>
  </si>
  <si>
    <t>Raed Twaily</t>
  </si>
  <si>
    <t>Omar Alnammary</t>
  </si>
  <si>
    <t>Abhishek Shukla</t>
  </si>
  <si>
    <t>Company</t>
  </si>
  <si>
    <t>Room Name</t>
  </si>
  <si>
    <t>Floor</t>
  </si>
  <si>
    <t>Capacity</t>
  </si>
  <si>
    <t>Laze room</t>
  </si>
  <si>
    <t>Ground Floor</t>
  </si>
  <si>
    <t>Joseph</t>
  </si>
  <si>
    <t>Founder Runner Backup</t>
  </si>
  <si>
    <t>Clout</t>
  </si>
  <si>
    <t>Navigate</t>
  </si>
  <si>
    <t>Buzz</t>
  </si>
  <si>
    <t>First Floor</t>
  </si>
  <si>
    <t>Ponder</t>
  </si>
  <si>
    <t>Ankush</t>
  </si>
  <si>
    <t>Investor Runner Backup</t>
  </si>
  <si>
    <t>Balance</t>
  </si>
  <si>
    <t>Aspire</t>
  </si>
  <si>
    <t>Sreeneedhi</t>
  </si>
  <si>
    <t>Registration</t>
  </si>
  <si>
    <t>Curate</t>
  </si>
  <si>
    <t>Introspect</t>
  </si>
  <si>
    <t>Library (FF)</t>
  </si>
  <si>
    <t>Library (GF)</t>
  </si>
  <si>
    <t>Get Laptops/ iPads</t>
  </si>
  <si>
    <t>Sheet will be shared with you</t>
  </si>
  <si>
    <t>Backup folks act as a releiver for the runner as well as help in finding a person if required</t>
  </si>
  <si>
    <t>Contact details for founder runners let me know if you have all/ which are missing</t>
  </si>
  <si>
    <t>For investors we will ask Alok</t>
  </si>
  <si>
    <t>Change Log</t>
  </si>
  <si>
    <t>Sreeneedhi - on spot scheduling</t>
  </si>
  <si>
    <t>Catamaran Dropped</t>
  </si>
  <si>
    <t>iDO given to UTEC at 3PM</t>
  </si>
  <si>
    <t>Company Name</t>
  </si>
  <si>
    <t>Company with Classification</t>
  </si>
  <si>
    <t>Attending LP BluSwan</t>
  </si>
  <si>
    <t>Euler</t>
  </si>
  <si>
    <t>Idfy</t>
  </si>
  <si>
    <t>Squadstack.ai</t>
  </si>
  <si>
    <t>TestMu (Lambdatest)</t>
  </si>
  <si>
    <t>A-Confido</t>
  </si>
  <si>
    <t>Investor Name</t>
  </si>
  <si>
    <t>Atomicwork</t>
  </si>
  <si>
    <t>Ethereal Machines</t>
  </si>
  <si>
    <t>slice</t>
  </si>
  <si>
    <t>BatterySmart</t>
  </si>
  <si>
    <t>DPDZero</t>
  </si>
  <si>
    <t>IntrCity</t>
  </si>
  <si>
    <t>LeverageEdu</t>
  </si>
  <si>
    <t>Namma Yatri (Moving Tech)</t>
  </si>
  <si>
    <t>Pixxel</t>
  </si>
  <si>
    <t>Servify</t>
  </si>
  <si>
    <t>Ultrahuman</t>
  </si>
  <si>
    <t>Kiran Mysore</t>
  </si>
  <si>
    <t>Top 3 request</t>
  </si>
  <si>
    <t>Top 3 Request</t>
  </si>
  <si>
    <t>ankit agarwal</t>
  </si>
  <si>
    <t>ankit.agarwal@nipponindiaim.com</t>
  </si>
  <si>
    <t>Not interested</t>
  </si>
  <si>
    <t>Next Priority</t>
  </si>
  <si>
    <t>Interested, can meet later</t>
  </si>
  <si>
    <t>Sheetal</t>
  </si>
  <si>
    <t>Top 3 Request, Next Priority</t>
  </si>
  <si>
    <t>Anoushka Bhatia</t>
  </si>
  <si>
    <t>Shun Ishikawa</t>
  </si>
  <si>
    <t>On&amp;Board</t>
  </si>
  <si>
    <t>Rahul Hirawat</t>
  </si>
  <si>
    <t>Scheduled Meetings</t>
  </si>
  <si>
    <t>Top 3 Request (No Meeting)</t>
  </si>
  <si>
    <t>Next Priority (No Meeting)</t>
  </si>
  <si>
    <t>Interested, Can Meet Later (No Meeting)</t>
  </si>
  <si>
    <t>IDfy, smallcase, Optimized Electrotech</t>
  </si>
  <si>
    <t>Atomicwork, slice, SquadStack</t>
  </si>
  <si>
    <t>-</t>
  </si>
  <si>
    <t>TestMu (formerly Lambdatest), iDO Devices</t>
  </si>
  <si>
    <t>Atomicwork, SquadStack</t>
  </si>
  <si>
    <t>iDO Devices, Cashify, Euler Motors, IDfy, smallcase</t>
  </si>
  <si>
    <t>BatterySmart, Pixxel</t>
  </si>
  <si>
    <t>Ethereal Machines, SquadStack, TestMu (formerly Lambdatest), Aerem, DPDZero, Optimized Electrotech, Ultrahuman</t>
  </si>
  <si>
    <t>slice, SuperK</t>
  </si>
  <si>
    <t>Neo Fund</t>
  </si>
  <si>
    <t>Cashify, Spinny, iDO Devices, smallcase, Optimo Loans</t>
  </si>
  <si>
    <t>slice, BatterySmart, IntrCity, Ultrahuman</t>
  </si>
  <si>
    <t>Atomicwork, DPDZero, Namma Yatri (Moving Tech)</t>
  </si>
  <si>
    <t>Ethereal Machines, Euler Motors, SquadStack, TestMu (formerly Lambdatest), Aerem, LeverageEdu, Optimized Electrotech, Pixxel, Servify, Stage, Virohan</t>
  </si>
  <si>
    <t>Optimo Loans, SquadStack, TestMu (formerly Lambdatest), Aerem, Optimized Electrotech</t>
  </si>
  <si>
    <t>Atomicwork, slice, BatterySmart, Pixxel, Ultrahuman</t>
  </si>
  <si>
    <t>Ethereal Machines, iDO Devices, Namma Yatri (Moving Tech), Stage</t>
  </si>
  <si>
    <t>Aerem, Virohan, Optimo Loans, Stage</t>
  </si>
  <si>
    <t>iDO Devices, smallcase, SquadStack, Namma Yatri (Moving Tech), SuperK</t>
  </si>
  <si>
    <t>Stage, Euler Motors, Spinny, iDO Devices</t>
  </si>
  <si>
    <t>SquadStack, Ultrahuman</t>
  </si>
  <si>
    <t>Cashify, BatterySmart, LeverageEdu, Namma Yatri (Moving Tech), SuperK</t>
  </si>
  <si>
    <t>Optimized Electrotech, iDO Devices</t>
  </si>
  <si>
    <t>Ethereal Machines, DPDZero</t>
  </si>
  <si>
    <t>Atomicwork, SquadStack, Virohan</t>
  </si>
  <si>
    <t>DPDZero, Ultrahuman</t>
  </si>
  <si>
    <t>SquadStack</t>
  </si>
  <si>
    <t>IDfy, Cashify</t>
  </si>
  <si>
    <t>Ethereal Machines, BatterySmart, Ultrahuman</t>
  </si>
  <si>
    <t>Spinny, DPDZero, Namma Yatri (Moving Tech), Ultrahuman</t>
  </si>
  <si>
    <t>iDO Devices, slice, SquadStack, Servify</t>
  </si>
  <si>
    <t>Euler Motors, TestMu (formerly Lambdatest), Aerem</t>
  </si>
  <si>
    <t>TestMu (formerly Lambdatest), Optimized Electrotech</t>
  </si>
  <si>
    <t>Atomicwork, Pixxel</t>
  </si>
  <si>
    <t>Ethereal Machines, BatterySmart</t>
  </si>
  <si>
    <t>Euler Motors, iDO Devices, SquadStack</t>
  </si>
  <si>
    <t>Email Intro Done</t>
  </si>
  <si>
    <t>Meeting Scheduled</t>
  </si>
  <si>
    <t>COUNTA of Company Name</t>
  </si>
  <si>
    <t>Grand Total</t>
  </si>
  <si>
    <t>Sent</t>
  </si>
  <si>
    <t>10:00-10:35</t>
  </si>
  <si>
    <t>Eight Roads</t>
  </si>
  <si>
    <t>Diwakar Anand</t>
  </si>
  <si>
    <t>Clientell</t>
  </si>
  <si>
    <t>Saahil Dhaka</t>
  </si>
  <si>
    <t>Prosus</t>
  </si>
  <si>
    <t xml:space="preserve">Soumya Chauhan </t>
  </si>
  <si>
    <t>Futwork</t>
  </si>
  <si>
    <t>Niranjan Nakhate</t>
  </si>
  <si>
    <t>Charu</t>
  </si>
  <si>
    <t xml:space="preserve">Creaegis </t>
  </si>
  <si>
    <t>Amit Ranade</t>
  </si>
  <si>
    <t>Handpickd</t>
  </si>
  <si>
    <t>Anant V. Goel</t>
  </si>
  <si>
    <t>Chaitanya</t>
  </si>
  <si>
    <t>ICICI Venture</t>
  </si>
  <si>
    <t>Shashwat Madan</t>
  </si>
  <si>
    <t>iDo Devices</t>
  </si>
  <si>
    <t xml:space="preserve">Ashita Gupta, Shalabh Srivastava </t>
  </si>
  <si>
    <t>B Capital</t>
  </si>
  <si>
    <t>Deepanshu Pattanayak, Akash Khandelwal, Karan Mohla</t>
  </si>
  <si>
    <t>Lucira</t>
  </si>
  <si>
    <t>Rupesh Jain</t>
  </si>
  <si>
    <t>360 One</t>
  </si>
  <si>
    <t>Tanmay Parasramka</t>
  </si>
  <si>
    <t>Procol</t>
  </si>
  <si>
    <t xml:space="preserve">Gaurav Baheti </t>
  </si>
  <si>
    <t>Sreenidhi</t>
  </si>
  <si>
    <t>10:45-11:20</t>
  </si>
  <si>
    <t xml:space="preserve">Sorin Investments </t>
  </si>
  <si>
    <t>Sanchita Tibrewal</t>
  </si>
  <si>
    <t>FOXO</t>
  </si>
  <si>
    <t xml:space="preserve">Subhendu Panigrahi </t>
  </si>
  <si>
    <t>Akshat</t>
  </si>
  <si>
    <t>Creaegis</t>
  </si>
  <si>
    <t xml:space="preserve">SMBC Asia Rising Fund </t>
  </si>
  <si>
    <t>Rajeev Ranka, Mayank Agarwal</t>
  </si>
  <si>
    <t>LightFury</t>
  </si>
  <si>
    <t xml:space="preserve">Karan Shroff </t>
  </si>
  <si>
    <t>Alok Anand Patra</t>
  </si>
  <si>
    <t>Dharana Capital</t>
  </si>
  <si>
    <t>Parshva Shah</t>
  </si>
  <si>
    <t>11:30-12:05</t>
  </si>
  <si>
    <t>Aavishkaar Capital</t>
  </si>
  <si>
    <t>Sanchayan Chakraborty, Kushal Lathia</t>
  </si>
  <si>
    <t>Pico Xpress</t>
  </si>
  <si>
    <t xml:space="preserve">Aniruddha Gangopadhyay, Kamal S </t>
  </si>
  <si>
    <t>Wiffy</t>
  </si>
  <si>
    <t>Vikram S.</t>
  </si>
  <si>
    <t>12:15-12:50</t>
  </si>
  <si>
    <t>goSTOPS</t>
  </si>
  <si>
    <t>Pankaj Parwanda, Pallavi Agarwal</t>
  </si>
  <si>
    <t>Chiratae Ventures</t>
  </si>
  <si>
    <t>Kinshuk Soperna</t>
  </si>
  <si>
    <t>GMO Venture Partners</t>
  </si>
  <si>
    <t>Yuta Yamamoto</t>
  </si>
  <si>
    <t>Apurv Agrawal</t>
  </si>
  <si>
    <t>Namma Yatri</t>
  </si>
  <si>
    <t>Shan</t>
  </si>
  <si>
    <t>13:00-13:35</t>
  </si>
  <si>
    <t>BeeNext</t>
  </si>
  <si>
    <t>Hero Choudhary, Priyank Mahajan</t>
  </si>
  <si>
    <t>IDo Devices</t>
  </si>
  <si>
    <t>Quona</t>
  </si>
  <si>
    <t xml:space="preserve">Varun Malhotra
</t>
  </si>
  <si>
    <t>Nivasa</t>
  </si>
  <si>
    <t>Samit Shankar Shetty, Hitesh Saraf</t>
  </si>
  <si>
    <t>STAGE</t>
  </si>
  <si>
    <t xml:space="preserve">Vinay Singhal </t>
  </si>
  <si>
    <t>Pratithi Growth</t>
  </si>
  <si>
    <t>Saumya Jain</t>
  </si>
  <si>
    <t>13:40-14:20</t>
  </si>
  <si>
    <t>13:45-14:20</t>
  </si>
  <si>
    <t xml:space="preserve">HealthKois </t>
  </si>
  <si>
    <t>Nilay Shah</t>
  </si>
  <si>
    <t>Steadview</t>
  </si>
  <si>
    <t>Himanshu Jain</t>
  </si>
  <si>
    <t>14:20-14:50</t>
  </si>
  <si>
    <t>14:30-14:50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</si>
</sst>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6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rgb="FF000000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trike/>
      <sz val="11"/>
      <color rgb="FF000000"/>
      <name val="Calibri"/>
    </font>
    <font>
      <u/>
      <sz val="11"/>
      <color rgb="FF0000FF"/>
      <name val="Calibri"/>
    </font>
    <font>
      <b/>
      <strike/>
      <sz val="11"/>
      <color rgb="FF000000"/>
      <name val="Calibri"/>
    </font>
    <font>
      <strike/>
      <sz val="11"/>
      <color theme="1"/>
      <name val="Arial"/>
    </font>
    <font>
      <i/>
      <sz val="11"/>
      <color rgb="FFFF0000"/>
      <name val="Calibri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rgb="FF4285F4"/>
      <name val="Roboto"/>
    </font>
    <font>
      <sz val="11"/>
      <color rgb="FF4285F4"/>
      <name val="Arial"/>
    </font>
    <font>
      <sz val="11"/>
      <color rgb="FF434343"/>
      <name val="Roboto"/>
    </font>
    <font>
      <b/>
      <sz val="11"/>
      <color theme="1"/>
      <name val="Calibri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0"/>
      <color theme="1"/>
      <name val="Arial"/>
      <family val="2"/>
      <scheme val="minor"/>
    </font>
    <font>
      <sz val="11"/>
      <color rgb="FF222222"/>
      <name val="Google Sans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4EDDA"/>
        <bgColor rgb="FFD4EDDA"/>
      </patternFill>
    </fill>
    <fill>
      <patternFill patternType="solid">
        <fgColor theme="0"/>
        <bgColor theme="0"/>
      </patternFill>
    </fill>
    <fill>
      <patternFill patternType="solid">
        <fgColor rgb="FFFCE8E6"/>
        <bgColor rgb="FFFCE8E6"/>
      </patternFill>
    </fill>
    <fill>
      <patternFill patternType="solid">
        <fgColor rgb="FFC5D9F1"/>
        <bgColor rgb="FFC5D9F1"/>
      </patternFill>
    </fill>
    <fill>
      <patternFill patternType="solid">
        <fgColor rgb="FFC4D79B"/>
        <bgColor rgb="FFC4D79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CD5B4"/>
        <bgColor rgb="FFFCD5B4"/>
      </patternFill>
    </fill>
    <fill>
      <patternFill patternType="solid">
        <fgColor rgb="FFFDE9D9"/>
        <bgColor rgb="FFFDE9D9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FF00"/>
        <bgColor rgb="FF00FF00"/>
      </patternFill>
    </fill>
  </fills>
  <borders count="2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3" borderId="0" xfId="0" applyFont="1" applyFill="1"/>
    <xf numFmtId="14" fontId="4" fillId="3" borderId="0" xfId="0" applyNumberFormat="1" applyFont="1" applyFill="1"/>
    <xf numFmtId="0" fontId="4" fillId="4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4" fillId="0" borderId="0" xfId="0" applyFont="1"/>
    <xf numFmtId="0" fontId="5" fillId="0" borderId="3" xfId="0" applyFont="1" applyBorder="1"/>
    <xf numFmtId="0" fontId="6" fillId="0" borderId="3" xfId="0" applyFont="1" applyBorder="1"/>
    <xf numFmtId="0" fontId="7" fillId="0" borderId="0" xfId="0" applyFont="1"/>
    <xf numFmtId="0" fontId="8" fillId="6" borderId="3" xfId="0" applyFont="1" applyFill="1" applyBorder="1"/>
    <xf numFmtId="0" fontId="8" fillId="0" borderId="3" xfId="0" applyFont="1" applyBorder="1"/>
    <xf numFmtId="0" fontId="7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6" fillId="0" borderId="0" xfId="0" applyFont="1"/>
    <xf numFmtId="0" fontId="8" fillId="7" borderId="3" xfId="0" applyFont="1" applyFill="1" applyBorder="1"/>
    <xf numFmtId="0" fontId="9" fillId="7" borderId="3" xfId="0" applyFont="1" applyFill="1" applyBorder="1"/>
    <xf numFmtId="0" fontId="11" fillId="0" borderId="3" xfId="0" applyFont="1" applyBorder="1"/>
    <xf numFmtId="0" fontId="12" fillId="0" borderId="3" xfId="0" applyFont="1" applyBorder="1"/>
    <xf numFmtId="0" fontId="8" fillId="8" borderId="3" xfId="0" applyFont="1" applyFill="1" applyBorder="1"/>
    <xf numFmtId="0" fontId="13" fillId="0" borderId="3" xfId="0" applyFont="1" applyBorder="1"/>
    <xf numFmtId="0" fontId="9" fillId="9" borderId="3" xfId="0" applyFont="1" applyFill="1" applyBorder="1"/>
    <xf numFmtId="0" fontId="8" fillId="10" borderId="3" xfId="0" applyFont="1" applyFill="1" applyBorder="1"/>
    <xf numFmtId="0" fontId="8" fillId="8" borderId="2" xfId="0" applyFont="1" applyFill="1" applyBorder="1"/>
    <xf numFmtId="0" fontId="8" fillId="0" borderId="0" xfId="0" applyFont="1"/>
    <xf numFmtId="0" fontId="5" fillId="0" borderId="0" xfId="0" applyFont="1"/>
    <xf numFmtId="0" fontId="8" fillId="10" borderId="2" xfId="0" applyFont="1" applyFill="1" applyBorder="1"/>
    <xf numFmtId="0" fontId="8" fillId="11" borderId="2" xfId="0" applyFont="1" applyFill="1" applyBorder="1" applyAlignment="1">
      <alignment horizontal="right"/>
    </xf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16" fillId="0" borderId="3" xfId="0" applyFont="1" applyBorder="1"/>
    <xf numFmtId="0" fontId="15" fillId="12" borderId="3" xfId="0" applyFont="1" applyFill="1" applyBorder="1"/>
    <xf numFmtId="0" fontId="15" fillId="0" borderId="0" xfId="0" applyFont="1"/>
    <xf numFmtId="0" fontId="15" fillId="0" borderId="0" xfId="0" applyFont="1" applyAlignment="1">
      <alignment horizontal="center"/>
    </xf>
    <xf numFmtId="0" fontId="17" fillId="13" borderId="4" xfId="0" applyFont="1" applyFill="1" applyBorder="1" applyAlignment="1">
      <alignment horizontal="left"/>
    </xf>
    <xf numFmtId="0" fontId="5" fillId="13" borderId="3" xfId="0" applyFont="1" applyFill="1" applyBorder="1"/>
    <xf numFmtId="0" fontId="18" fillId="13" borderId="5" xfId="0" applyFont="1" applyFill="1" applyBorder="1"/>
    <xf numFmtId="0" fontId="18" fillId="13" borderId="6" xfId="0" applyFont="1" applyFill="1" applyBorder="1"/>
    <xf numFmtId="0" fontId="19" fillId="13" borderId="7" xfId="0" applyFont="1" applyFill="1" applyBorder="1"/>
    <xf numFmtId="0" fontId="15" fillId="13" borderId="7" xfId="0" applyFont="1" applyFill="1" applyBorder="1"/>
    <xf numFmtId="0" fontId="15" fillId="13" borderId="8" xfId="0" applyFont="1" applyFill="1" applyBorder="1"/>
    <xf numFmtId="0" fontId="19" fillId="14" borderId="9" xfId="0" applyFont="1" applyFill="1" applyBorder="1"/>
    <xf numFmtId="0" fontId="19" fillId="14" borderId="10" xfId="0" applyFont="1" applyFill="1" applyBorder="1"/>
    <xf numFmtId="0" fontId="15" fillId="14" borderId="9" xfId="0" applyFont="1" applyFill="1" applyBorder="1"/>
    <xf numFmtId="0" fontId="15" fillId="14" borderId="10" xfId="0" applyFont="1" applyFill="1" applyBorder="1"/>
    <xf numFmtId="0" fontId="19" fillId="13" borderId="8" xfId="0" applyFont="1" applyFill="1" applyBorder="1"/>
    <xf numFmtId="0" fontId="19" fillId="14" borderId="11" xfId="0" applyFont="1" applyFill="1" applyBorder="1"/>
    <xf numFmtId="0" fontId="15" fillId="14" borderId="11" xfId="0" applyFont="1" applyFill="1" applyBorder="1"/>
    <xf numFmtId="0" fontId="15" fillId="14" borderId="12" xfId="0" applyFont="1" applyFill="1" applyBorder="1"/>
    <xf numFmtId="0" fontId="20" fillId="0" borderId="3" xfId="0" applyFont="1" applyBorder="1" applyAlignment="1">
      <alignment horizontal="center" vertical="top"/>
    </xf>
    <xf numFmtId="0" fontId="8" fillId="15" borderId="2" xfId="0" applyFont="1" applyFill="1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3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Border="1"/>
    <xf numFmtId="0" fontId="0" fillId="0" borderId="18" xfId="0" applyNumberFormat="1" applyBorder="1"/>
    <xf numFmtId="0" fontId="0" fillId="0" borderId="2" xfId="0" applyNumberFormat="1" applyBorder="1"/>
    <xf numFmtId="0" fontId="0" fillId="0" borderId="19" xfId="0" applyNumberFormat="1" applyBorder="1"/>
    <xf numFmtId="0" fontId="0" fillId="0" borderId="20" xfId="0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64" fontId="22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3" fillId="13" borderId="0" xfId="0" applyFont="1" applyFill="1" applyAlignment="1">
      <alignment horizontal="left"/>
    </xf>
    <xf numFmtId="0" fontId="24" fillId="0" borderId="0" xfId="0" applyFont="1" applyAlignment="1">
      <alignment horizontal="left"/>
    </xf>
    <xf numFmtId="0" fontId="25" fillId="1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eph Sebastian" refreshedDate="46062.78363460648" refreshedVersion="8" recordCount="127" xr:uid="{00000000-000A-0000-FFFF-FFFF00000000}">
  <cacheSource type="worksheet">
    <worksheetSource ref="A1:C128" sheet="Long List"/>
  </cacheSource>
  <cacheFields count="3">
    <cacheField name="Fund Name" numFmtId="0">
      <sharedItems count="13">
        <s v="GIC"/>
        <s v="IFC"/>
        <s v="Oman Investment Authority"/>
        <s v="Neo Fund"/>
        <s v="Pavilion Capital"/>
        <s v="Nippon India"/>
        <s v="Transsion"/>
        <s v="Catamaran"/>
        <s v="Unilever Ventures"/>
        <s v="Transpose Platform"/>
        <s v="Evolvence Equity Partners"/>
        <s v="Mirabilis Investment Trust"/>
        <s v="Prosperity 7"/>
      </sharedItems>
    </cacheField>
    <cacheField name="Company Name" numFmtId="0">
      <sharedItems/>
    </cacheField>
    <cacheField name="Status" numFmtId="0">
      <sharedItems count="4">
        <s v="Meeting Scheduled"/>
        <s v="Top 3 Request (No Meeting)"/>
        <s v="Next Priority (No Meeting)"/>
        <s v="Interested, Can Meet Later (No Meeting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s v="IDfy"/>
    <x v="0"/>
  </r>
  <r>
    <x v="0"/>
    <s v="smallcase"/>
    <x v="0"/>
  </r>
  <r>
    <x v="0"/>
    <s v="Optimized Electrotech"/>
    <x v="0"/>
  </r>
  <r>
    <x v="0"/>
    <s v="Atomicwork"/>
    <x v="1"/>
  </r>
  <r>
    <x v="0"/>
    <s v="slice"/>
    <x v="1"/>
  </r>
  <r>
    <x v="0"/>
    <s v="SquadStack"/>
    <x v="1"/>
  </r>
  <r>
    <x v="1"/>
    <s v="TestMu (formerly Lambdatest)"/>
    <x v="0"/>
  </r>
  <r>
    <x v="1"/>
    <s v="iDO Devices"/>
    <x v="0"/>
  </r>
  <r>
    <x v="1"/>
    <s v="Atomicwork"/>
    <x v="1"/>
  </r>
  <r>
    <x v="1"/>
    <s v="SquadStack"/>
    <x v="1"/>
  </r>
  <r>
    <x v="2"/>
    <s v="iDO Devices"/>
    <x v="0"/>
  </r>
  <r>
    <x v="2"/>
    <s v="Cashify"/>
    <x v="0"/>
  </r>
  <r>
    <x v="2"/>
    <s v="Euler Motors"/>
    <x v="0"/>
  </r>
  <r>
    <x v="2"/>
    <s v="IDfy"/>
    <x v="0"/>
  </r>
  <r>
    <x v="2"/>
    <s v="smallcase"/>
    <x v="0"/>
  </r>
  <r>
    <x v="2"/>
    <s v="BatterySmart"/>
    <x v="1"/>
  </r>
  <r>
    <x v="2"/>
    <s v="Pixxel"/>
    <x v="1"/>
  </r>
  <r>
    <x v="2"/>
    <s v="Ethereal Machines"/>
    <x v="2"/>
  </r>
  <r>
    <x v="2"/>
    <s v="SquadStack"/>
    <x v="2"/>
  </r>
  <r>
    <x v="2"/>
    <s v="TestMu (formerly Lambdatest)"/>
    <x v="2"/>
  </r>
  <r>
    <x v="2"/>
    <s v="Aerem"/>
    <x v="2"/>
  </r>
  <r>
    <x v="2"/>
    <s v="DPDZero"/>
    <x v="2"/>
  </r>
  <r>
    <x v="2"/>
    <s v="Optimized Electrotech"/>
    <x v="2"/>
  </r>
  <r>
    <x v="2"/>
    <s v="Ultrahuman"/>
    <x v="2"/>
  </r>
  <r>
    <x v="2"/>
    <s v="slice"/>
    <x v="3"/>
  </r>
  <r>
    <x v="2"/>
    <s v="SuperK"/>
    <x v="3"/>
  </r>
  <r>
    <x v="3"/>
    <s v="Cashify"/>
    <x v="0"/>
  </r>
  <r>
    <x v="3"/>
    <s v="Spinny"/>
    <x v="0"/>
  </r>
  <r>
    <x v="3"/>
    <s v="iDO Devices"/>
    <x v="0"/>
  </r>
  <r>
    <x v="3"/>
    <s v="smallcase"/>
    <x v="0"/>
  </r>
  <r>
    <x v="3"/>
    <s v="Optimo Loans"/>
    <x v="0"/>
  </r>
  <r>
    <x v="3"/>
    <s v="slice"/>
    <x v="1"/>
  </r>
  <r>
    <x v="3"/>
    <s v="BatterySmart"/>
    <x v="1"/>
  </r>
  <r>
    <x v="3"/>
    <s v="IntrCity"/>
    <x v="1"/>
  </r>
  <r>
    <x v="3"/>
    <s v="Ultrahuman"/>
    <x v="1"/>
  </r>
  <r>
    <x v="3"/>
    <s v="Atomicwork"/>
    <x v="2"/>
  </r>
  <r>
    <x v="3"/>
    <s v="DPDZero"/>
    <x v="2"/>
  </r>
  <r>
    <x v="3"/>
    <s v="Namma Yatri (Moving Tech)"/>
    <x v="2"/>
  </r>
  <r>
    <x v="3"/>
    <s v="Ethereal Machines"/>
    <x v="3"/>
  </r>
  <r>
    <x v="3"/>
    <s v="Euler Motors"/>
    <x v="3"/>
  </r>
  <r>
    <x v="3"/>
    <s v="SquadStack"/>
    <x v="3"/>
  </r>
  <r>
    <x v="3"/>
    <s v="TestMu (formerly Lambdatest)"/>
    <x v="3"/>
  </r>
  <r>
    <x v="3"/>
    <s v="Aerem"/>
    <x v="3"/>
  </r>
  <r>
    <x v="3"/>
    <s v="LeverageEdu"/>
    <x v="3"/>
  </r>
  <r>
    <x v="3"/>
    <s v="Optimized Electrotech"/>
    <x v="3"/>
  </r>
  <r>
    <x v="3"/>
    <s v="Pixxel"/>
    <x v="3"/>
  </r>
  <r>
    <x v="3"/>
    <s v="Servify"/>
    <x v="3"/>
  </r>
  <r>
    <x v="3"/>
    <s v="Stage"/>
    <x v="3"/>
  </r>
  <r>
    <x v="3"/>
    <s v="Virohan"/>
    <x v="3"/>
  </r>
  <r>
    <x v="4"/>
    <s v="Optimo Loans"/>
    <x v="0"/>
  </r>
  <r>
    <x v="4"/>
    <s v="SquadStack"/>
    <x v="0"/>
  </r>
  <r>
    <x v="4"/>
    <s v="TestMu (formerly Lambdatest)"/>
    <x v="0"/>
  </r>
  <r>
    <x v="4"/>
    <s v="Aerem"/>
    <x v="0"/>
  </r>
  <r>
    <x v="4"/>
    <s v="Optimized Electrotech"/>
    <x v="0"/>
  </r>
  <r>
    <x v="4"/>
    <s v="Atomicwork"/>
    <x v="1"/>
  </r>
  <r>
    <x v="4"/>
    <s v="slice"/>
    <x v="1"/>
  </r>
  <r>
    <x v="4"/>
    <s v="BatterySmart"/>
    <x v="1"/>
  </r>
  <r>
    <x v="4"/>
    <s v="Pixxel"/>
    <x v="1"/>
  </r>
  <r>
    <x v="4"/>
    <s v="Ultrahuman"/>
    <x v="1"/>
  </r>
  <r>
    <x v="4"/>
    <s v="DPDZero"/>
    <x v="2"/>
  </r>
  <r>
    <x v="4"/>
    <s v="Ethereal Machines"/>
    <x v="3"/>
  </r>
  <r>
    <x v="4"/>
    <s v="iDO Devices"/>
    <x v="3"/>
  </r>
  <r>
    <x v="4"/>
    <s v="Namma Yatri (Moving Tech)"/>
    <x v="3"/>
  </r>
  <r>
    <x v="4"/>
    <s v="Stage"/>
    <x v="3"/>
  </r>
  <r>
    <x v="5"/>
    <s v="Aerem"/>
    <x v="0"/>
  </r>
  <r>
    <x v="5"/>
    <s v="Virohan"/>
    <x v="0"/>
  </r>
  <r>
    <x v="5"/>
    <s v="Optimo Loans"/>
    <x v="0"/>
  </r>
  <r>
    <x v="5"/>
    <s v="Stage"/>
    <x v="0"/>
  </r>
  <r>
    <x v="5"/>
    <s v="DPDZero"/>
    <x v="1"/>
  </r>
  <r>
    <x v="5"/>
    <s v="Ethereal Machines"/>
    <x v="2"/>
  </r>
  <r>
    <x v="5"/>
    <s v="iDO Devices"/>
    <x v="3"/>
  </r>
  <r>
    <x v="5"/>
    <s v="smallcase"/>
    <x v="3"/>
  </r>
  <r>
    <x v="5"/>
    <s v="SquadStack"/>
    <x v="3"/>
  </r>
  <r>
    <x v="5"/>
    <s v="Namma Yatri (Moving Tech)"/>
    <x v="3"/>
  </r>
  <r>
    <x v="5"/>
    <s v="SuperK"/>
    <x v="3"/>
  </r>
  <r>
    <x v="6"/>
    <s v="Stage"/>
    <x v="0"/>
  </r>
  <r>
    <x v="6"/>
    <s v="Euler Motors"/>
    <x v="0"/>
  </r>
  <r>
    <x v="6"/>
    <s v="Spinny"/>
    <x v="0"/>
  </r>
  <r>
    <x v="6"/>
    <s v="iDO Devices"/>
    <x v="0"/>
  </r>
  <r>
    <x v="6"/>
    <s v="SquadStack"/>
    <x v="1"/>
  </r>
  <r>
    <x v="6"/>
    <s v="Ultrahuman"/>
    <x v="1"/>
  </r>
  <r>
    <x v="6"/>
    <s v="Atomicwork"/>
    <x v="2"/>
  </r>
  <r>
    <x v="6"/>
    <s v="Cashify"/>
    <x v="3"/>
  </r>
  <r>
    <x v="6"/>
    <s v="BatterySmart"/>
    <x v="3"/>
  </r>
  <r>
    <x v="6"/>
    <s v="LeverageEdu"/>
    <x v="3"/>
  </r>
  <r>
    <x v="6"/>
    <s v="Namma Yatri (Moving Tech)"/>
    <x v="3"/>
  </r>
  <r>
    <x v="6"/>
    <s v="SuperK"/>
    <x v="3"/>
  </r>
  <r>
    <x v="7"/>
    <s v="Optimized Electrotech"/>
    <x v="0"/>
  </r>
  <r>
    <x v="7"/>
    <s v="iDO Devices"/>
    <x v="0"/>
  </r>
  <r>
    <x v="7"/>
    <s v="Ethereal Machines"/>
    <x v="1"/>
  </r>
  <r>
    <x v="7"/>
    <s v="DPDZero"/>
    <x v="1"/>
  </r>
  <r>
    <x v="7"/>
    <s v="Atomicwork"/>
    <x v="3"/>
  </r>
  <r>
    <x v="7"/>
    <s v="SquadStack"/>
    <x v="3"/>
  </r>
  <r>
    <x v="7"/>
    <s v="Virohan"/>
    <x v="3"/>
  </r>
  <r>
    <x v="8"/>
    <s v="SuperK"/>
    <x v="0"/>
  </r>
  <r>
    <x v="8"/>
    <s v="DPDZero"/>
    <x v="1"/>
  </r>
  <r>
    <x v="8"/>
    <s v="Ultrahuman"/>
    <x v="1"/>
  </r>
  <r>
    <x v="9"/>
    <s v="SquadStack"/>
    <x v="0"/>
  </r>
  <r>
    <x v="9"/>
    <s v="Atomicwork"/>
    <x v="1"/>
  </r>
  <r>
    <x v="10"/>
    <s v="IDfy"/>
    <x v="0"/>
  </r>
  <r>
    <x v="10"/>
    <s v="Cashify"/>
    <x v="0"/>
  </r>
  <r>
    <x v="10"/>
    <s v="Ethereal Machines"/>
    <x v="1"/>
  </r>
  <r>
    <x v="10"/>
    <s v="BatterySmart"/>
    <x v="1"/>
  </r>
  <r>
    <x v="10"/>
    <s v="Ultrahuman"/>
    <x v="1"/>
  </r>
  <r>
    <x v="10"/>
    <s v="Atomicwork"/>
    <x v="2"/>
  </r>
  <r>
    <x v="11"/>
    <s v="IDfy"/>
    <x v="0"/>
  </r>
  <r>
    <x v="11"/>
    <s v="Cashify"/>
    <x v="0"/>
  </r>
  <r>
    <x v="11"/>
    <s v="Spinny"/>
    <x v="1"/>
  </r>
  <r>
    <x v="11"/>
    <s v="DPDZero"/>
    <x v="1"/>
  </r>
  <r>
    <x v="11"/>
    <s v="Namma Yatri (Moving Tech)"/>
    <x v="1"/>
  </r>
  <r>
    <x v="11"/>
    <s v="Ultrahuman"/>
    <x v="1"/>
  </r>
  <r>
    <x v="11"/>
    <s v="iDO Devices"/>
    <x v="2"/>
  </r>
  <r>
    <x v="11"/>
    <s v="slice"/>
    <x v="2"/>
  </r>
  <r>
    <x v="11"/>
    <s v="SquadStack"/>
    <x v="2"/>
  </r>
  <r>
    <x v="11"/>
    <s v="Servify"/>
    <x v="2"/>
  </r>
  <r>
    <x v="11"/>
    <s v="Euler Motors"/>
    <x v="3"/>
  </r>
  <r>
    <x v="11"/>
    <s v="TestMu (formerly Lambdatest)"/>
    <x v="3"/>
  </r>
  <r>
    <x v="11"/>
    <s v="Aerem"/>
    <x v="3"/>
  </r>
  <r>
    <x v="12"/>
    <s v="TestMu (formerly Lambdatest)"/>
    <x v="0"/>
  </r>
  <r>
    <x v="12"/>
    <s v="Optimized Electrotech"/>
    <x v="0"/>
  </r>
  <r>
    <x v="12"/>
    <s v="Atomicwork"/>
    <x v="1"/>
  </r>
  <r>
    <x v="12"/>
    <s v="Pixxel"/>
    <x v="1"/>
  </r>
  <r>
    <x v="12"/>
    <s v="Ethereal Machines"/>
    <x v="2"/>
  </r>
  <r>
    <x v="12"/>
    <s v="BatterySmart"/>
    <x v="2"/>
  </r>
  <r>
    <x v="12"/>
    <s v="Euler Motors"/>
    <x v="3"/>
  </r>
  <r>
    <x v="12"/>
    <s v="iDO Devices"/>
    <x v="3"/>
  </r>
  <r>
    <x v="12"/>
    <s v="SquadStack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Long List" cacheId="5" applyNumberFormats="0" applyBorderFormats="0" applyFontFormats="0" applyPatternFormats="0" applyAlignmentFormats="0" applyWidthHeightFormats="0" dataCaption="" updatedVersion="8" compact="0" compactData="0">
  <location ref="H2:M17" firstHeaderRow="1" firstDataRow="2" firstDataCol="1"/>
  <pivotFields count="3">
    <pivotField name="Fund Name" axis="axisRow" compact="0" outline="0" multipleItemSelectionAllowed="1" showAll="0" sortType="ascending">
      <items count="14">
        <item x="7"/>
        <item x="10"/>
        <item x="0"/>
        <item x="1"/>
        <item x="11"/>
        <item x="3"/>
        <item x="5"/>
        <item x="2"/>
        <item x="4"/>
        <item x="12"/>
        <item x="9"/>
        <item x="6"/>
        <item x="8"/>
        <item t="default"/>
      </items>
    </pivotField>
    <pivotField name="Company Name" dataField="1" compact="0" outline="0" multipleItemSelectionAllowed="1" showAll="0"/>
    <pivotField name="Status" axis="axisCol" compact="0" outline="0" multipleItemSelectionAllowed="1" showAll="0" sortType="ascending">
      <items count="5">
        <item x="3"/>
        <item x="0"/>
        <item x="2"/>
        <item x="1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A of Company Name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hmoud.AlKhatri@oia.gov.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quadstack.a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84FF"/>
  </sheetPr>
  <dimension ref="A1:Z1005"/>
  <sheetViews>
    <sheetView tabSelected="1" workbookViewId="0">
      <pane ySplit="1" topLeftCell="A2" activePane="bottomLeft" state="frozen"/>
      <selection pane="bottomLeft" activeCell="A2" sqref="A2:H51"/>
    </sheetView>
  </sheetViews>
  <sheetFormatPr baseColWidth="10" defaultColWidth="12.6640625" defaultRowHeight="15" customHeight="1"/>
  <cols>
    <col min="1" max="1" width="7" customWidth="1"/>
    <col min="2" max="2" width="14" customWidth="1"/>
    <col min="3" max="3" width="28" customWidth="1"/>
    <col min="4" max="4" width="22" customWidth="1"/>
    <col min="5" max="5" width="30" customWidth="1"/>
    <col min="6" max="6" width="16" customWidth="1"/>
    <col min="7" max="9" width="18" customWidth="1"/>
    <col min="10" max="10" width="16" customWidth="1"/>
    <col min="11" max="26" width="8.6640625" customWidth="1"/>
  </cols>
  <sheetData>
    <row r="1" spans="1:2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26">
      <c r="A2" s="75">
        <v>1</v>
      </c>
      <c r="B2" s="76" t="s">
        <v>234</v>
      </c>
      <c r="C2" s="77" t="s">
        <v>235</v>
      </c>
      <c r="D2" s="76" t="s">
        <v>236</v>
      </c>
      <c r="E2" s="76" t="s">
        <v>237</v>
      </c>
      <c r="F2" s="76" t="s">
        <v>238</v>
      </c>
      <c r="G2" s="78"/>
      <c r="H2" s="78" t="s">
        <v>20</v>
      </c>
      <c r="I2" s="4"/>
      <c r="J2" s="3"/>
      <c r="K2" s="5"/>
      <c r="L2" s="6"/>
      <c r="M2" s="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5">
        <v>2</v>
      </c>
      <c r="B3" s="76" t="s">
        <v>234</v>
      </c>
      <c r="C3" s="77" t="s">
        <v>239</v>
      </c>
      <c r="D3" s="76" t="s">
        <v>240</v>
      </c>
      <c r="E3" s="76" t="s">
        <v>241</v>
      </c>
      <c r="F3" s="76" t="s">
        <v>242</v>
      </c>
      <c r="G3" s="78"/>
      <c r="H3" s="78" t="s">
        <v>243</v>
      </c>
      <c r="I3" s="4"/>
      <c r="J3" s="3"/>
      <c r="K3" s="5"/>
      <c r="L3" s="6"/>
      <c r="M3" s="5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5">
        <v>3</v>
      </c>
      <c r="B4" s="76" t="s">
        <v>234</v>
      </c>
      <c r="C4" s="77" t="s">
        <v>244</v>
      </c>
      <c r="D4" s="76" t="s">
        <v>245</v>
      </c>
      <c r="E4" s="76" t="s">
        <v>246</v>
      </c>
      <c r="F4" s="76" t="s">
        <v>247</v>
      </c>
      <c r="G4" s="78"/>
      <c r="H4" s="78" t="s">
        <v>248</v>
      </c>
      <c r="I4" s="4"/>
      <c r="J4" s="3"/>
      <c r="K4" s="5"/>
      <c r="L4" s="6"/>
      <c r="M4" s="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5">
        <v>4</v>
      </c>
      <c r="B5" s="76" t="s">
        <v>234</v>
      </c>
      <c r="C5" s="77" t="s">
        <v>249</v>
      </c>
      <c r="D5" s="76" t="s">
        <v>250</v>
      </c>
      <c r="E5" s="76" t="s">
        <v>251</v>
      </c>
      <c r="F5" s="76" t="s">
        <v>252</v>
      </c>
      <c r="G5" s="78"/>
      <c r="H5" s="78" t="s">
        <v>243</v>
      </c>
      <c r="I5" s="4"/>
      <c r="J5" s="3"/>
      <c r="K5" s="5"/>
      <c r="L5" s="6"/>
      <c r="M5" s="5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5">
        <v>5</v>
      </c>
      <c r="B6" s="76" t="s">
        <v>234</v>
      </c>
      <c r="C6" s="77" t="s">
        <v>253</v>
      </c>
      <c r="D6" s="76" t="s">
        <v>254</v>
      </c>
      <c r="E6" s="76" t="s">
        <v>255</v>
      </c>
      <c r="F6" s="76" t="s">
        <v>256</v>
      </c>
      <c r="G6" s="78"/>
      <c r="H6" s="78" t="s">
        <v>20</v>
      </c>
      <c r="I6" s="4"/>
      <c r="J6" s="3"/>
      <c r="K6" s="5"/>
      <c r="L6" s="6"/>
      <c r="M6" s="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5">
        <v>6</v>
      </c>
      <c r="B7" s="76" t="s">
        <v>234</v>
      </c>
      <c r="C7" s="77" t="s">
        <v>257</v>
      </c>
      <c r="D7" s="76" t="s">
        <v>258</v>
      </c>
      <c r="E7" s="76" t="s">
        <v>259</v>
      </c>
      <c r="F7" s="76" t="s">
        <v>260</v>
      </c>
      <c r="G7" s="78"/>
      <c r="H7" s="78" t="s">
        <v>261</v>
      </c>
      <c r="I7" s="4"/>
      <c r="J7" s="3"/>
      <c r="K7" s="5"/>
      <c r="L7" s="6"/>
      <c r="M7" s="5"/>
    </row>
    <row r="8" spans="1:26">
      <c r="A8" s="75">
        <v>7</v>
      </c>
      <c r="B8" s="76" t="s">
        <v>262</v>
      </c>
      <c r="C8" s="77" t="s">
        <v>263</v>
      </c>
      <c r="D8" s="76" t="s">
        <v>264</v>
      </c>
      <c r="E8" s="76" t="s">
        <v>265</v>
      </c>
      <c r="F8" s="76" t="s">
        <v>266</v>
      </c>
      <c r="G8" s="78"/>
      <c r="H8" s="78" t="s">
        <v>267</v>
      </c>
      <c r="I8" s="4"/>
      <c r="J8" s="3"/>
      <c r="K8" s="5"/>
      <c r="L8" s="6"/>
      <c r="M8" s="5"/>
    </row>
    <row r="9" spans="1:26">
      <c r="A9" s="75">
        <v>8</v>
      </c>
      <c r="B9" s="76" t="s">
        <v>262</v>
      </c>
      <c r="C9" s="77" t="s">
        <v>268</v>
      </c>
      <c r="D9" s="76" t="s">
        <v>245</v>
      </c>
      <c r="E9" s="76" t="s">
        <v>241</v>
      </c>
      <c r="F9" s="76" t="s">
        <v>242</v>
      </c>
      <c r="G9" s="78"/>
      <c r="H9" s="78" t="s">
        <v>243</v>
      </c>
      <c r="I9" s="4"/>
      <c r="J9" s="3"/>
      <c r="K9" s="5"/>
      <c r="L9" s="6"/>
      <c r="M9" s="5"/>
    </row>
    <row r="10" spans="1:26">
      <c r="A10" s="75">
        <v>9</v>
      </c>
      <c r="B10" s="76" t="s">
        <v>262</v>
      </c>
      <c r="C10" s="77" t="s">
        <v>269</v>
      </c>
      <c r="D10" s="76" t="s">
        <v>270</v>
      </c>
      <c r="E10" s="76" t="s">
        <v>251</v>
      </c>
      <c r="F10" s="76" t="s">
        <v>252</v>
      </c>
      <c r="G10" s="78"/>
      <c r="H10" s="78" t="s">
        <v>243</v>
      </c>
      <c r="I10" s="4"/>
      <c r="J10" s="3"/>
      <c r="K10" s="5"/>
      <c r="L10" s="6"/>
      <c r="M10" s="5"/>
    </row>
    <row r="11" spans="1:26">
      <c r="A11" s="75">
        <v>10</v>
      </c>
      <c r="B11" s="76" t="s">
        <v>262</v>
      </c>
      <c r="C11" s="77" t="s">
        <v>235</v>
      </c>
      <c r="D11" s="76" t="s">
        <v>236</v>
      </c>
      <c r="E11" s="76" t="s">
        <v>271</v>
      </c>
      <c r="F11" s="76" t="s">
        <v>272</v>
      </c>
      <c r="G11" s="78"/>
      <c r="H11" s="78" t="s">
        <v>20</v>
      </c>
      <c r="I11" s="4"/>
      <c r="J11" s="3"/>
      <c r="K11" s="5"/>
      <c r="L11" s="6"/>
      <c r="M11" s="5"/>
    </row>
    <row r="12" spans="1:26">
      <c r="A12" s="75">
        <v>11</v>
      </c>
      <c r="B12" s="76" t="s">
        <v>262</v>
      </c>
      <c r="C12" s="77" t="s">
        <v>263</v>
      </c>
      <c r="D12" s="76" t="s">
        <v>273</v>
      </c>
      <c r="E12" s="76" t="s">
        <v>255</v>
      </c>
      <c r="F12" s="76" t="s">
        <v>256</v>
      </c>
      <c r="G12" s="78"/>
      <c r="H12" s="78" t="s">
        <v>20</v>
      </c>
      <c r="I12" s="4"/>
      <c r="J12" s="3"/>
      <c r="K12" s="5"/>
      <c r="L12" s="6"/>
      <c r="M12" s="5"/>
    </row>
    <row r="13" spans="1:26">
      <c r="A13" s="75">
        <v>12</v>
      </c>
      <c r="B13" s="76" t="s">
        <v>262</v>
      </c>
      <c r="C13" s="77" t="s">
        <v>274</v>
      </c>
      <c r="D13" s="76" t="s">
        <v>275</v>
      </c>
      <c r="E13" s="76" t="s">
        <v>259</v>
      </c>
      <c r="F13" s="76" t="s">
        <v>260</v>
      </c>
      <c r="G13" s="78"/>
      <c r="H13" s="78" t="s">
        <v>261</v>
      </c>
      <c r="I13" s="4"/>
      <c r="J13" s="3"/>
      <c r="K13" s="5"/>
      <c r="L13" s="6"/>
      <c r="M13" s="5"/>
    </row>
    <row r="14" spans="1:26">
      <c r="A14" s="75">
        <v>13</v>
      </c>
      <c r="B14" s="76" t="s">
        <v>276</v>
      </c>
      <c r="C14" s="77" t="s">
        <v>239</v>
      </c>
      <c r="D14" s="76" t="s">
        <v>240</v>
      </c>
      <c r="E14" s="76" t="s">
        <v>265</v>
      </c>
      <c r="F14" s="76" t="s">
        <v>266</v>
      </c>
      <c r="G14" s="78"/>
      <c r="H14" s="78" t="s">
        <v>267</v>
      </c>
      <c r="I14" s="4"/>
      <c r="J14" s="3"/>
      <c r="K14" s="5"/>
      <c r="L14" s="6"/>
      <c r="M14" s="5"/>
    </row>
    <row r="15" spans="1:26">
      <c r="A15" s="75">
        <v>14</v>
      </c>
      <c r="B15" s="76" t="s">
        <v>276</v>
      </c>
      <c r="C15" s="77" t="s">
        <v>277</v>
      </c>
      <c r="D15" s="76" t="s">
        <v>278</v>
      </c>
      <c r="E15" s="76" t="s">
        <v>246</v>
      </c>
      <c r="F15" s="76" t="s">
        <v>247</v>
      </c>
      <c r="G15" s="78"/>
      <c r="H15" s="78" t="s">
        <v>248</v>
      </c>
      <c r="I15" s="4"/>
      <c r="J15" s="3"/>
      <c r="K15" s="5"/>
      <c r="L15" s="6"/>
      <c r="M15" s="5"/>
    </row>
    <row r="16" spans="1:26">
      <c r="A16" s="75">
        <v>15</v>
      </c>
      <c r="B16" s="76" t="s">
        <v>276</v>
      </c>
      <c r="C16" s="77" t="s">
        <v>257</v>
      </c>
      <c r="D16" s="76" t="s">
        <v>258</v>
      </c>
      <c r="E16" s="76" t="s">
        <v>251</v>
      </c>
      <c r="F16" s="76" t="s">
        <v>252</v>
      </c>
      <c r="G16" s="78"/>
      <c r="H16" s="78" t="s">
        <v>243</v>
      </c>
      <c r="I16" s="9"/>
      <c r="J16" s="8"/>
      <c r="K16" s="10"/>
      <c r="L16" s="6"/>
    </row>
    <row r="17" spans="1:13">
      <c r="A17" s="75">
        <v>16</v>
      </c>
      <c r="B17" s="76" t="s">
        <v>276</v>
      </c>
      <c r="C17" s="77" t="s">
        <v>235</v>
      </c>
      <c r="D17" s="76" t="s">
        <v>236</v>
      </c>
      <c r="E17" s="76" t="s">
        <v>255</v>
      </c>
      <c r="F17" s="76" t="s">
        <v>256</v>
      </c>
      <c r="G17" s="78"/>
      <c r="H17" s="78" t="s">
        <v>20</v>
      </c>
      <c r="I17" s="4"/>
      <c r="J17" s="3"/>
      <c r="K17" s="5"/>
      <c r="L17" s="6"/>
      <c r="M17" s="5"/>
    </row>
    <row r="18" spans="1:13">
      <c r="A18" s="75">
        <v>17</v>
      </c>
      <c r="B18" s="76" t="s">
        <v>276</v>
      </c>
      <c r="C18" s="77" t="s">
        <v>274</v>
      </c>
      <c r="D18" s="76" t="s">
        <v>275</v>
      </c>
      <c r="E18" s="76" t="s">
        <v>279</v>
      </c>
      <c r="F18" s="76" t="s">
        <v>280</v>
      </c>
      <c r="G18" s="78"/>
      <c r="H18" s="78" t="s">
        <v>267</v>
      </c>
      <c r="I18" s="4"/>
      <c r="J18" s="3"/>
      <c r="K18" s="5"/>
      <c r="L18" s="6"/>
      <c r="M18" s="5"/>
    </row>
    <row r="19" spans="1:13">
      <c r="A19" s="75">
        <v>18</v>
      </c>
      <c r="B19" s="76" t="s">
        <v>276</v>
      </c>
      <c r="C19" s="77" t="s">
        <v>244</v>
      </c>
      <c r="D19" s="76" t="s">
        <v>245</v>
      </c>
      <c r="E19" s="76" t="s">
        <v>259</v>
      </c>
      <c r="F19" s="76" t="s">
        <v>260</v>
      </c>
      <c r="G19" s="78"/>
      <c r="H19" s="78" t="s">
        <v>261</v>
      </c>
      <c r="I19" s="4"/>
      <c r="J19" s="3"/>
      <c r="K19" s="5"/>
      <c r="L19" s="6"/>
      <c r="M19" s="5"/>
    </row>
    <row r="20" spans="1:13">
      <c r="A20" s="75">
        <v>19</v>
      </c>
      <c r="B20" s="76" t="s">
        <v>276</v>
      </c>
      <c r="C20" s="77" t="s">
        <v>269</v>
      </c>
      <c r="D20" s="76" t="s">
        <v>270</v>
      </c>
      <c r="E20" s="76" t="s">
        <v>281</v>
      </c>
      <c r="F20" s="76" t="s">
        <v>282</v>
      </c>
      <c r="G20" s="78"/>
      <c r="H20" s="78" t="s">
        <v>267</v>
      </c>
      <c r="I20" s="4"/>
      <c r="J20" s="3"/>
      <c r="K20" s="5"/>
      <c r="L20" s="6"/>
      <c r="M20" s="5"/>
    </row>
    <row r="21" spans="1:13">
      <c r="A21" s="75">
        <v>20</v>
      </c>
      <c r="B21" s="76" t="s">
        <v>283</v>
      </c>
      <c r="C21" s="77" t="s">
        <v>244</v>
      </c>
      <c r="D21" s="76" t="s">
        <v>245</v>
      </c>
      <c r="E21" s="76" t="s">
        <v>284</v>
      </c>
      <c r="F21" s="76" t="s">
        <v>285</v>
      </c>
      <c r="G21" s="78"/>
      <c r="H21" s="78" t="s">
        <v>248</v>
      </c>
      <c r="I21" s="4"/>
      <c r="J21" s="3"/>
      <c r="K21" s="5"/>
      <c r="L21" s="6"/>
      <c r="M21" s="5"/>
    </row>
    <row r="22" spans="1:13">
      <c r="A22" s="75">
        <v>21</v>
      </c>
      <c r="B22" s="76" t="s">
        <v>283</v>
      </c>
      <c r="C22" s="77" t="s">
        <v>274</v>
      </c>
      <c r="D22" s="76" t="s">
        <v>275</v>
      </c>
      <c r="E22" s="76" t="s">
        <v>251</v>
      </c>
      <c r="F22" s="76" t="s">
        <v>252</v>
      </c>
      <c r="G22" s="78"/>
      <c r="H22" s="78" t="s">
        <v>243</v>
      </c>
      <c r="I22" s="4"/>
      <c r="J22" s="3"/>
      <c r="K22" s="5"/>
      <c r="L22" s="6"/>
      <c r="M22" s="5"/>
    </row>
    <row r="23" spans="1:13">
      <c r="A23" s="75">
        <v>22</v>
      </c>
      <c r="B23" s="76" t="s">
        <v>283</v>
      </c>
      <c r="C23" s="77" t="s">
        <v>286</v>
      </c>
      <c r="D23" s="76" t="s">
        <v>287</v>
      </c>
      <c r="E23" s="76" t="s">
        <v>255</v>
      </c>
      <c r="F23" s="76" t="s">
        <v>256</v>
      </c>
      <c r="G23" s="78"/>
      <c r="H23" s="78" t="s">
        <v>20</v>
      </c>
      <c r="I23" s="4"/>
      <c r="J23" s="3"/>
      <c r="K23" s="5"/>
      <c r="L23" s="6"/>
      <c r="M23" s="5"/>
    </row>
    <row r="24" spans="1:13" ht="15.75" customHeight="1">
      <c r="A24" s="75">
        <v>23</v>
      </c>
      <c r="B24" s="76" t="s">
        <v>283</v>
      </c>
      <c r="C24" s="77" t="s">
        <v>263</v>
      </c>
      <c r="D24" s="76" t="s">
        <v>273</v>
      </c>
      <c r="E24" s="76" t="s">
        <v>259</v>
      </c>
      <c r="F24" s="76" t="s">
        <v>260</v>
      </c>
      <c r="G24" s="78"/>
      <c r="H24" s="78" t="s">
        <v>261</v>
      </c>
      <c r="I24" s="4"/>
      <c r="J24" s="3"/>
      <c r="K24" s="5"/>
      <c r="L24" s="6"/>
      <c r="M24" s="5"/>
    </row>
    <row r="25" spans="1:13" ht="15.75" customHeight="1">
      <c r="A25" s="75">
        <v>24</v>
      </c>
      <c r="B25" s="76" t="s">
        <v>283</v>
      </c>
      <c r="C25" s="77" t="s">
        <v>288</v>
      </c>
      <c r="D25" s="76" t="s">
        <v>289</v>
      </c>
      <c r="E25" s="76" t="s">
        <v>160</v>
      </c>
      <c r="F25" s="76" t="s">
        <v>290</v>
      </c>
      <c r="G25" s="78"/>
      <c r="H25" s="78" t="s">
        <v>261</v>
      </c>
      <c r="I25" s="4"/>
      <c r="J25" s="3"/>
      <c r="K25" s="5"/>
      <c r="L25" s="6"/>
      <c r="M25" s="5"/>
    </row>
    <row r="26" spans="1:13" ht="15.75" customHeight="1">
      <c r="A26" s="75">
        <v>25</v>
      </c>
      <c r="B26" s="76" t="s">
        <v>283</v>
      </c>
      <c r="C26" s="77" t="s">
        <v>257</v>
      </c>
      <c r="D26" s="76" t="s">
        <v>258</v>
      </c>
      <c r="E26" s="76" t="s">
        <v>281</v>
      </c>
      <c r="F26" s="76" t="s">
        <v>282</v>
      </c>
      <c r="G26" s="78"/>
      <c r="H26" s="78" t="s">
        <v>267</v>
      </c>
      <c r="I26" s="4"/>
      <c r="J26" s="3"/>
      <c r="K26" s="5"/>
      <c r="L26" s="6"/>
      <c r="M26" s="5"/>
    </row>
    <row r="27" spans="1:13" ht="15.75" customHeight="1">
      <c r="A27" s="75">
        <v>26</v>
      </c>
      <c r="B27" s="76" t="s">
        <v>283</v>
      </c>
      <c r="C27" s="78" t="s">
        <v>277</v>
      </c>
      <c r="D27" s="76" t="s">
        <v>278</v>
      </c>
      <c r="E27" s="78" t="s">
        <v>291</v>
      </c>
      <c r="F27" s="78" t="s">
        <v>292</v>
      </c>
      <c r="G27" s="78"/>
      <c r="H27" s="78" t="s">
        <v>261</v>
      </c>
      <c r="I27" s="4"/>
      <c r="J27" s="3"/>
      <c r="K27" s="5"/>
      <c r="L27" s="6"/>
      <c r="M27" s="5"/>
    </row>
    <row r="28" spans="1:13" ht="15.75" customHeight="1">
      <c r="A28" s="75">
        <v>27</v>
      </c>
      <c r="B28" s="76" t="s">
        <v>293</v>
      </c>
      <c r="C28" s="77" t="s">
        <v>257</v>
      </c>
      <c r="D28" s="76" t="s">
        <v>258</v>
      </c>
      <c r="E28" s="76" t="s">
        <v>237</v>
      </c>
      <c r="F28" s="76" t="s">
        <v>238</v>
      </c>
      <c r="G28" s="78"/>
      <c r="H28" s="78" t="s">
        <v>20</v>
      </c>
      <c r="I28" s="4"/>
      <c r="J28" s="3"/>
      <c r="K28" s="5"/>
      <c r="L28" s="6"/>
      <c r="M28" s="5"/>
    </row>
    <row r="29" spans="1:13" ht="15.75" customHeight="1">
      <c r="A29" s="75">
        <v>28</v>
      </c>
      <c r="B29" s="76" t="s">
        <v>293</v>
      </c>
      <c r="C29" s="77" t="s">
        <v>244</v>
      </c>
      <c r="D29" s="76" t="s">
        <v>245</v>
      </c>
      <c r="E29" s="76" t="s">
        <v>265</v>
      </c>
      <c r="F29" s="76" t="s">
        <v>266</v>
      </c>
      <c r="G29" s="78"/>
      <c r="H29" s="78" t="s">
        <v>267</v>
      </c>
      <c r="I29" s="4"/>
      <c r="J29" s="3"/>
      <c r="K29" s="5"/>
      <c r="L29" s="6"/>
      <c r="M29" s="5"/>
    </row>
    <row r="30" spans="1:13" ht="15.75" customHeight="1">
      <c r="A30" s="75">
        <v>29</v>
      </c>
      <c r="B30" s="76" t="s">
        <v>293</v>
      </c>
      <c r="C30" s="77" t="s">
        <v>294</v>
      </c>
      <c r="D30" s="76" t="s">
        <v>295</v>
      </c>
      <c r="E30" s="76" t="s">
        <v>296</v>
      </c>
      <c r="F30" s="76" t="s">
        <v>252</v>
      </c>
      <c r="G30" s="78"/>
      <c r="H30" s="78" t="s">
        <v>243</v>
      </c>
      <c r="I30" s="4"/>
      <c r="J30" s="3"/>
      <c r="K30" s="5"/>
      <c r="L30" s="6"/>
      <c r="M30" s="5"/>
    </row>
    <row r="31" spans="1:13" ht="15.75" customHeight="1">
      <c r="A31" s="75">
        <v>30</v>
      </c>
      <c r="B31" s="76" t="s">
        <v>293</v>
      </c>
      <c r="C31" s="77" t="s">
        <v>297</v>
      </c>
      <c r="D31" s="76" t="s">
        <v>298</v>
      </c>
      <c r="E31" s="76" t="s">
        <v>299</v>
      </c>
      <c r="F31" s="79" t="s">
        <v>300</v>
      </c>
      <c r="G31" s="78"/>
      <c r="H31" s="78" t="s">
        <v>243</v>
      </c>
      <c r="I31" s="4"/>
      <c r="J31" s="3"/>
      <c r="K31" s="5"/>
      <c r="L31" s="6"/>
      <c r="M31" s="5"/>
    </row>
    <row r="32" spans="1:13" ht="15.75" customHeight="1">
      <c r="A32" s="75">
        <v>31</v>
      </c>
      <c r="B32" s="76" t="s">
        <v>293</v>
      </c>
      <c r="C32" s="77" t="s">
        <v>286</v>
      </c>
      <c r="D32" s="76" t="s">
        <v>287</v>
      </c>
      <c r="E32" s="76" t="s">
        <v>279</v>
      </c>
      <c r="F32" s="76" t="s">
        <v>280</v>
      </c>
      <c r="G32" s="78"/>
      <c r="H32" s="78" t="s">
        <v>267</v>
      </c>
      <c r="I32" s="4"/>
      <c r="J32" s="3"/>
      <c r="K32" s="5"/>
      <c r="L32" s="6"/>
      <c r="M32" s="5"/>
    </row>
    <row r="33" spans="1:13" ht="15.75" customHeight="1">
      <c r="A33" s="75">
        <v>32</v>
      </c>
      <c r="B33" s="76" t="s">
        <v>293</v>
      </c>
      <c r="C33" s="77" t="s">
        <v>277</v>
      </c>
      <c r="D33" s="76" t="s">
        <v>278</v>
      </c>
      <c r="E33" s="76" t="s">
        <v>259</v>
      </c>
      <c r="F33" s="76" t="s">
        <v>260</v>
      </c>
      <c r="G33" s="78"/>
      <c r="H33" s="78" t="s">
        <v>261</v>
      </c>
      <c r="I33" s="4"/>
      <c r="J33" s="3"/>
      <c r="K33" s="5"/>
      <c r="L33" s="6"/>
      <c r="M33" s="5"/>
    </row>
    <row r="34" spans="1:13" ht="15.75" customHeight="1">
      <c r="A34" s="75">
        <v>33</v>
      </c>
      <c r="B34" s="76" t="s">
        <v>293</v>
      </c>
      <c r="C34" s="77" t="s">
        <v>274</v>
      </c>
      <c r="D34" s="76" t="s">
        <v>275</v>
      </c>
      <c r="E34" s="76" t="s">
        <v>160</v>
      </c>
      <c r="F34" s="76" t="s">
        <v>290</v>
      </c>
      <c r="G34" s="78"/>
      <c r="H34" s="78" t="s">
        <v>261</v>
      </c>
      <c r="I34" s="4"/>
      <c r="J34" s="3"/>
      <c r="K34" s="5"/>
      <c r="L34" s="6"/>
      <c r="M34" s="5"/>
    </row>
    <row r="35" spans="1:13" ht="15.75" customHeight="1">
      <c r="A35" s="75">
        <v>34</v>
      </c>
      <c r="B35" s="76" t="s">
        <v>293</v>
      </c>
      <c r="C35" s="77" t="s">
        <v>253</v>
      </c>
      <c r="D35" s="76" t="s">
        <v>254</v>
      </c>
      <c r="E35" s="76" t="s">
        <v>301</v>
      </c>
      <c r="F35" s="76" t="s">
        <v>302</v>
      </c>
      <c r="G35" s="78"/>
      <c r="H35" s="78" t="s">
        <v>248</v>
      </c>
      <c r="I35" s="4"/>
      <c r="J35" s="3"/>
      <c r="K35" s="5"/>
      <c r="L35" s="6"/>
      <c r="M35" s="5"/>
    </row>
    <row r="36" spans="1:13" ht="15.75" customHeight="1">
      <c r="A36" s="75">
        <v>35</v>
      </c>
      <c r="B36" s="76" t="s">
        <v>293</v>
      </c>
      <c r="C36" s="78" t="s">
        <v>303</v>
      </c>
      <c r="D36" s="80" t="s">
        <v>304</v>
      </c>
      <c r="E36" s="78" t="s">
        <v>291</v>
      </c>
      <c r="F36" s="78" t="s">
        <v>292</v>
      </c>
      <c r="G36" s="78"/>
      <c r="H36" s="78" t="s">
        <v>261</v>
      </c>
      <c r="I36" s="4"/>
      <c r="J36" s="3"/>
      <c r="K36" s="5"/>
      <c r="L36" s="6"/>
      <c r="M36" s="5"/>
    </row>
    <row r="37" spans="1:13" ht="15.75" customHeight="1">
      <c r="A37" s="75">
        <v>36</v>
      </c>
      <c r="B37" s="76" t="s">
        <v>305</v>
      </c>
      <c r="C37" s="77" t="s">
        <v>297</v>
      </c>
      <c r="D37" s="76" t="s">
        <v>298</v>
      </c>
      <c r="E37" s="76" t="s">
        <v>259</v>
      </c>
      <c r="F37" s="76" t="s">
        <v>260</v>
      </c>
      <c r="G37" s="78"/>
      <c r="H37" s="78" t="s">
        <v>261</v>
      </c>
      <c r="I37" s="4"/>
      <c r="J37" s="3"/>
      <c r="K37" s="5"/>
      <c r="L37" s="6"/>
      <c r="M37" s="5"/>
    </row>
    <row r="38" spans="1:13" ht="15.75" customHeight="1">
      <c r="A38" s="75">
        <v>37</v>
      </c>
      <c r="B38" s="76" t="s">
        <v>306</v>
      </c>
      <c r="C38" s="77" t="s">
        <v>307</v>
      </c>
      <c r="D38" s="81" t="s">
        <v>308</v>
      </c>
      <c r="E38" s="76" t="s">
        <v>237</v>
      </c>
      <c r="F38" s="76" t="s">
        <v>238</v>
      </c>
      <c r="G38" s="78"/>
      <c r="H38" s="78" t="s">
        <v>20</v>
      </c>
      <c r="I38" s="5"/>
      <c r="J38" s="5"/>
      <c r="K38" s="5"/>
      <c r="L38" s="6"/>
      <c r="M38" s="5"/>
    </row>
    <row r="39" spans="1:13" ht="15.75" customHeight="1">
      <c r="A39" s="75">
        <v>38</v>
      </c>
      <c r="B39" s="76" t="s">
        <v>306</v>
      </c>
      <c r="C39" s="77" t="s">
        <v>286</v>
      </c>
      <c r="D39" s="76" t="s">
        <v>287</v>
      </c>
      <c r="E39" s="76" t="s">
        <v>284</v>
      </c>
      <c r="F39" s="76" t="s">
        <v>285</v>
      </c>
      <c r="G39" s="78"/>
      <c r="H39" s="78" t="s">
        <v>248</v>
      </c>
      <c r="I39" s="5"/>
      <c r="J39" s="5"/>
      <c r="K39" s="5"/>
      <c r="L39" s="6"/>
      <c r="M39" s="5"/>
    </row>
    <row r="40" spans="1:13" ht="15.75" customHeight="1">
      <c r="A40" s="75">
        <v>39</v>
      </c>
      <c r="B40" s="76" t="s">
        <v>306</v>
      </c>
      <c r="C40" s="77" t="s">
        <v>244</v>
      </c>
      <c r="D40" s="76" t="s">
        <v>245</v>
      </c>
      <c r="E40" s="76" t="s">
        <v>296</v>
      </c>
      <c r="F40" s="76" t="s">
        <v>252</v>
      </c>
      <c r="G40" s="78"/>
      <c r="H40" s="78" t="s">
        <v>243</v>
      </c>
      <c r="I40" s="4"/>
      <c r="J40" s="3"/>
      <c r="K40" s="5"/>
      <c r="L40" s="6"/>
      <c r="M40" s="5"/>
    </row>
    <row r="41" spans="1:13" ht="15.75" customHeight="1">
      <c r="A41" s="75">
        <v>40</v>
      </c>
      <c r="B41" s="76" t="s">
        <v>306</v>
      </c>
      <c r="C41" s="77" t="s">
        <v>253</v>
      </c>
      <c r="D41" s="76" t="s">
        <v>254</v>
      </c>
      <c r="E41" s="76" t="s">
        <v>271</v>
      </c>
      <c r="F41" s="76" t="s">
        <v>272</v>
      </c>
      <c r="G41" s="78"/>
      <c r="H41" s="78" t="s">
        <v>20</v>
      </c>
      <c r="I41" s="4"/>
      <c r="J41" s="3"/>
      <c r="K41" s="5"/>
      <c r="L41" s="6"/>
      <c r="M41" s="5"/>
    </row>
    <row r="42" spans="1:13" ht="15.75" customHeight="1">
      <c r="A42" s="75">
        <v>41</v>
      </c>
      <c r="B42" s="76" t="s">
        <v>306</v>
      </c>
      <c r="C42" s="77" t="s">
        <v>309</v>
      </c>
      <c r="D42" s="76" t="s">
        <v>310</v>
      </c>
      <c r="E42" s="76" t="s">
        <v>299</v>
      </c>
      <c r="F42" s="79" t="s">
        <v>300</v>
      </c>
      <c r="G42" s="78"/>
      <c r="H42" s="78" t="s">
        <v>243</v>
      </c>
      <c r="I42" s="4"/>
      <c r="J42" s="3"/>
      <c r="K42" s="5"/>
      <c r="L42" s="6"/>
      <c r="M42" s="5"/>
    </row>
    <row r="43" spans="1:13" ht="15.75" customHeight="1">
      <c r="A43" s="75">
        <v>42</v>
      </c>
      <c r="B43" s="76" t="s">
        <v>306</v>
      </c>
      <c r="C43" s="77" t="s">
        <v>235</v>
      </c>
      <c r="D43" s="76" t="s">
        <v>236</v>
      </c>
      <c r="E43" s="76" t="s">
        <v>301</v>
      </c>
      <c r="F43" s="76" t="s">
        <v>302</v>
      </c>
      <c r="G43" s="78"/>
      <c r="H43" s="78" t="s">
        <v>248</v>
      </c>
      <c r="I43" s="4"/>
      <c r="J43" s="3"/>
      <c r="K43" s="5"/>
      <c r="L43" s="6"/>
      <c r="M43" s="5"/>
    </row>
    <row r="44" spans="1:13" ht="15" customHeight="1">
      <c r="A44" s="75">
        <v>43</v>
      </c>
      <c r="B44" s="76" t="s">
        <v>306</v>
      </c>
      <c r="C44" s="77" t="s">
        <v>294</v>
      </c>
      <c r="D44" s="76" t="s">
        <v>295</v>
      </c>
      <c r="E44" s="76" t="s">
        <v>281</v>
      </c>
      <c r="F44" s="76" t="s">
        <v>282</v>
      </c>
      <c r="G44" s="78"/>
      <c r="H44" s="78" t="s">
        <v>267</v>
      </c>
    </row>
    <row r="45" spans="1:13" ht="15.75" customHeight="1">
      <c r="A45" s="75">
        <v>44</v>
      </c>
      <c r="B45" s="76" t="s">
        <v>311</v>
      </c>
      <c r="C45" s="77" t="s">
        <v>297</v>
      </c>
      <c r="D45" s="76" t="s">
        <v>298</v>
      </c>
      <c r="E45" s="76" t="s">
        <v>160</v>
      </c>
      <c r="F45" s="76" t="s">
        <v>290</v>
      </c>
      <c r="G45" s="78"/>
      <c r="H45" s="78" t="s">
        <v>261</v>
      </c>
    </row>
    <row r="46" spans="1:13" ht="15.75" customHeight="1">
      <c r="A46" s="75">
        <v>45</v>
      </c>
      <c r="B46" s="76" t="s">
        <v>312</v>
      </c>
      <c r="C46" s="77" t="s">
        <v>253</v>
      </c>
      <c r="D46" s="76" t="s">
        <v>254</v>
      </c>
      <c r="E46" s="76" t="s">
        <v>237</v>
      </c>
      <c r="F46" s="76" t="s">
        <v>238</v>
      </c>
      <c r="G46" s="78"/>
      <c r="H46" s="78" t="s">
        <v>20</v>
      </c>
    </row>
    <row r="47" spans="1:13" ht="15.75" customHeight="1">
      <c r="A47" s="75">
        <v>46</v>
      </c>
      <c r="B47" s="76" t="s">
        <v>312</v>
      </c>
      <c r="C47" s="77" t="s">
        <v>307</v>
      </c>
      <c r="D47" s="81" t="s">
        <v>308</v>
      </c>
      <c r="E47" s="76" t="s">
        <v>265</v>
      </c>
      <c r="F47" s="76" t="s">
        <v>266</v>
      </c>
      <c r="G47" s="78"/>
      <c r="H47" s="78" t="s">
        <v>267</v>
      </c>
    </row>
    <row r="48" spans="1:13" ht="15.75" customHeight="1">
      <c r="A48" s="75">
        <v>47</v>
      </c>
      <c r="B48" s="76" t="s">
        <v>312</v>
      </c>
      <c r="C48" s="77" t="s">
        <v>309</v>
      </c>
      <c r="D48" s="76" t="s">
        <v>310</v>
      </c>
      <c r="E48" s="76" t="s">
        <v>251</v>
      </c>
      <c r="F48" s="76" t="s">
        <v>252</v>
      </c>
      <c r="G48" s="78"/>
      <c r="H48" s="78" t="s">
        <v>243</v>
      </c>
    </row>
    <row r="49" spans="1:8" ht="15.75" customHeight="1">
      <c r="A49" s="75">
        <v>48</v>
      </c>
      <c r="B49" s="76" t="s">
        <v>312</v>
      </c>
      <c r="C49" s="77" t="s">
        <v>294</v>
      </c>
      <c r="D49" s="76" t="s">
        <v>295</v>
      </c>
      <c r="E49" s="76" t="s">
        <v>255</v>
      </c>
      <c r="F49" s="76" t="s">
        <v>256</v>
      </c>
      <c r="G49" s="78"/>
      <c r="H49" s="78" t="s">
        <v>20</v>
      </c>
    </row>
    <row r="50" spans="1:8" ht="15.75" customHeight="1">
      <c r="A50" s="75">
        <v>49</v>
      </c>
      <c r="B50" s="76" t="s">
        <v>312</v>
      </c>
      <c r="C50" s="77" t="s">
        <v>257</v>
      </c>
      <c r="D50" s="76" t="s">
        <v>258</v>
      </c>
      <c r="E50" s="76" t="s">
        <v>301</v>
      </c>
      <c r="F50" s="76" t="s">
        <v>302</v>
      </c>
      <c r="G50" s="78"/>
      <c r="H50" s="78" t="s">
        <v>248</v>
      </c>
    </row>
    <row r="51" spans="1:8" ht="15.75" customHeight="1">
      <c r="A51" s="75">
        <v>50</v>
      </c>
      <c r="B51" s="76" t="s">
        <v>312</v>
      </c>
      <c r="C51" s="77" t="s">
        <v>244</v>
      </c>
      <c r="D51" s="76" t="s">
        <v>245</v>
      </c>
      <c r="E51" s="76" t="s">
        <v>281</v>
      </c>
      <c r="F51" s="76" t="s">
        <v>282</v>
      </c>
      <c r="G51" s="78"/>
      <c r="H51" s="78" t="s">
        <v>267</v>
      </c>
    </row>
    <row r="52" spans="1:8" ht="15.75" customHeight="1"/>
    <row r="53" spans="1:8" ht="15.75" customHeight="1"/>
    <row r="54" spans="1:8" ht="15.75" customHeight="1"/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A1:J43" xr:uid="{00000000-0009-0000-0000-000000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99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" customHeight="1"/>
  <cols>
    <col min="1" max="1" width="2.83203125" customWidth="1"/>
    <col min="2" max="2" width="9.5" customWidth="1"/>
    <col min="3" max="3" width="21.6640625" customWidth="1"/>
    <col min="4" max="4" width="25.1640625" customWidth="1"/>
    <col min="5" max="5" width="11.1640625" customWidth="1"/>
    <col min="6" max="8" width="25.1640625" customWidth="1"/>
    <col min="9" max="10" width="19" customWidth="1"/>
  </cols>
  <sheetData>
    <row r="1" spans="2:12" ht="15.75" customHeight="1">
      <c r="B1" s="11" t="s">
        <v>88</v>
      </c>
      <c r="C1" s="11" t="s">
        <v>89</v>
      </c>
      <c r="D1" s="11" t="s">
        <v>90</v>
      </c>
      <c r="E1" s="11" t="s">
        <v>91</v>
      </c>
      <c r="F1" s="11" t="s">
        <v>13</v>
      </c>
      <c r="G1" s="11" t="s">
        <v>70</v>
      </c>
      <c r="H1" s="11" t="s">
        <v>79</v>
      </c>
      <c r="I1" s="11" t="s">
        <v>85</v>
      </c>
      <c r="J1" s="11" t="s">
        <v>87</v>
      </c>
      <c r="K1" s="12" t="s">
        <v>92</v>
      </c>
      <c r="L1" s="13" t="s">
        <v>93</v>
      </c>
    </row>
    <row r="2" spans="2:12" ht="15.75" customHeight="1">
      <c r="B2" s="14" t="s">
        <v>26</v>
      </c>
      <c r="C2" s="11" t="s">
        <v>67</v>
      </c>
      <c r="D2" s="15" t="s">
        <v>71</v>
      </c>
      <c r="E2" s="11" t="s">
        <v>72</v>
      </c>
      <c r="F2" s="16"/>
      <c r="G2" s="15" t="s">
        <v>94</v>
      </c>
      <c r="H2" s="15" t="s">
        <v>95</v>
      </c>
      <c r="I2" s="15" t="s">
        <v>96</v>
      </c>
      <c r="J2" s="17"/>
      <c r="K2" s="16">
        <f ca="1">IFERROR(__xludf.DUMMYFUNCTION("COUNTUNIQUE(F2:J2)"),3)</f>
        <v>3</v>
      </c>
      <c r="L2" s="13" t="s">
        <v>97</v>
      </c>
    </row>
    <row r="3" spans="2:12" ht="15.75" customHeight="1">
      <c r="B3" s="14" t="s">
        <v>26</v>
      </c>
      <c r="C3" s="11"/>
      <c r="D3" s="15" t="s">
        <v>68</v>
      </c>
      <c r="E3" s="11"/>
      <c r="F3" s="15"/>
      <c r="G3" s="16"/>
      <c r="H3" s="15"/>
      <c r="I3" s="15"/>
      <c r="J3" s="15"/>
      <c r="K3" s="16"/>
    </row>
    <row r="4" spans="2:12" ht="15.75" customHeight="1">
      <c r="B4" s="14" t="s">
        <v>26</v>
      </c>
      <c r="C4" s="11" t="s">
        <v>21</v>
      </c>
      <c r="D4" s="15" t="s">
        <v>22</v>
      </c>
      <c r="E4" s="11" t="s">
        <v>25</v>
      </c>
      <c r="F4" s="15" t="s">
        <v>98</v>
      </c>
      <c r="G4" s="16"/>
      <c r="H4" s="17"/>
      <c r="I4" s="15" t="s">
        <v>99</v>
      </c>
      <c r="J4" s="15"/>
      <c r="K4" s="16">
        <f ca="1">IFERROR(__xludf.DUMMYFUNCTION("COUNTUNIQUE(F4:J4)"),2)</f>
        <v>2</v>
      </c>
      <c r="L4" s="13" t="s">
        <v>100</v>
      </c>
    </row>
    <row r="5" spans="2:12" ht="15.75" customHeight="1">
      <c r="B5" s="14" t="s">
        <v>26</v>
      </c>
      <c r="C5" s="11"/>
      <c r="D5" s="15" t="s">
        <v>101</v>
      </c>
      <c r="E5" s="11"/>
      <c r="F5" s="15"/>
      <c r="G5" s="15"/>
      <c r="H5" s="15"/>
      <c r="I5" s="15"/>
      <c r="J5" s="15"/>
      <c r="K5" s="16"/>
    </row>
    <row r="6" spans="2:12" ht="15.75" customHeight="1">
      <c r="B6" s="14" t="s">
        <v>26</v>
      </c>
      <c r="C6" s="11"/>
      <c r="D6" s="15" t="s">
        <v>102</v>
      </c>
      <c r="E6" s="11"/>
      <c r="F6" s="15"/>
      <c r="G6" s="15"/>
      <c r="H6" s="15"/>
      <c r="I6" s="15"/>
      <c r="J6" s="15"/>
      <c r="K6" s="16"/>
    </row>
    <row r="7" spans="2:12" ht="15.75" customHeight="1">
      <c r="B7" s="14" t="s">
        <v>26</v>
      </c>
      <c r="C7" s="11"/>
      <c r="D7" s="15" t="s">
        <v>103</v>
      </c>
      <c r="E7" s="11"/>
      <c r="F7" s="15"/>
      <c r="G7" s="15"/>
      <c r="H7" s="15"/>
      <c r="I7" s="15"/>
      <c r="J7" s="15"/>
      <c r="K7" s="16"/>
    </row>
    <row r="8" spans="2:12" ht="15.75" customHeight="1">
      <c r="B8" s="14" t="s">
        <v>26</v>
      </c>
      <c r="C8" s="11" t="s">
        <v>38</v>
      </c>
      <c r="D8" s="15" t="s">
        <v>39</v>
      </c>
      <c r="E8" s="11" t="s">
        <v>42</v>
      </c>
      <c r="F8" s="15" t="s">
        <v>99</v>
      </c>
      <c r="G8" s="15" t="s">
        <v>104</v>
      </c>
      <c r="H8" s="15" t="s">
        <v>105</v>
      </c>
      <c r="I8" s="15" t="s">
        <v>94</v>
      </c>
      <c r="J8" s="15" t="s">
        <v>95</v>
      </c>
      <c r="K8" s="16">
        <f ca="1">IFERROR(__xludf.DUMMYFUNCTION("COUNTUNIQUE(F8:J8)"),5)</f>
        <v>5</v>
      </c>
      <c r="L8" s="13" t="s">
        <v>97</v>
      </c>
    </row>
    <row r="9" spans="2:12" ht="15.75" customHeight="1">
      <c r="B9" s="14" t="s">
        <v>26</v>
      </c>
      <c r="C9" s="11"/>
      <c r="D9" s="18" t="s">
        <v>106</v>
      </c>
      <c r="E9" s="11"/>
      <c r="F9" s="15"/>
      <c r="G9" s="15"/>
      <c r="H9" s="15"/>
      <c r="I9" s="15"/>
      <c r="J9" s="15"/>
      <c r="K9" s="16"/>
    </row>
    <row r="10" spans="2:12" ht="15.75" customHeight="1">
      <c r="B10" s="14" t="s">
        <v>26</v>
      </c>
      <c r="C10" s="11" t="s">
        <v>27</v>
      </c>
      <c r="D10" s="15" t="s">
        <v>28</v>
      </c>
      <c r="E10" s="19" t="s">
        <v>31</v>
      </c>
      <c r="F10" s="15" t="s">
        <v>104</v>
      </c>
      <c r="G10" s="15" t="s">
        <v>107</v>
      </c>
      <c r="H10" s="15" t="s">
        <v>99</v>
      </c>
      <c r="I10" s="15" t="s">
        <v>95</v>
      </c>
      <c r="J10" s="15" t="s">
        <v>108</v>
      </c>
      <c r="K10" s="16">
        <f ca="1">IFERROR(__xludf.DUMMYFUNCTION("COUNTUNIQUE(F10:J10)"),5)</f>
        <v>5</v>
      </c>
      <c r="L10" s="13" t="s">
        <v>97</v>
      </c>
    </row>
    <row r="11" spans="2:12" ht="15.75" customHeight="1">
      <c r="B11" s="14" t="s">
        <v>26</v>
      </c>
      <c r="C11" s="11" t="s">
        <v>43</v>
      </c>
      <c r="D11" s="15" t="s">
        <v>44</v>
      </c>
      <c r="E11" s="11" t="s">
        <v>47</v>
      </c>
      <c r="F11" s="15" t="s">
        <v>108</v>
      </c>
      <c r="G11" s="15" t="s">
        <v>109</v>
      </c>
      <c r="H11" s="15" t="s">
        <v>98</v>
      </c>
      <c r="I11" s="15" t="s">
        <v>110</v>
      </c>
      <c r="J11" s="15" t="s">
        <v>96</v>
      </c>
      <c r="K11" s="16">
        <f ca="1">IFERROR(__xludf.DUMMYFUNCTION("COUNTUNIQUE(F11:J11)"),5)</f>
        <v>5</v>
      </c>
      <c r="L11" s="13" t="s">
        <v>97</v>
      </c>
    </row>
    <row r="12" spans="2:12" ht="15.75" customHeight="1">
      <c r="B12" s="14" t="s">
        <v>26</v>
      </c>
      <c r="C12" s="11"/>
      <c r="D12" s="15" t="s">
        <v>111</v>
      </c>
      <c r="E12" s="11"/>
      <c r="F12" s="15"/>
      <c r="G12" s="15"/>
      <c r="H12" s="15"/>
      <c r="I12" s="15"/>
      <c r="J12" s="15"/>
      <c r="K12" s="16"/>
    </row>
    <row r="13" spans="2:12" ht="15.75" customHeight="1">
      <c r="B13" s="14" t="s">
        <v>26</v>
      </c>
      <c r="C13" s="11" t="s">
        <v>32</v>
      </c>
      <c r="D13" s="15" t="s">
        <v>33</v>
      </c>
      <c r="E13" s="11" t="s">
        <v>36</v>
      </c>
      <c r="F13" s="15" t="s">
        <v>110</v>
      </c>
      <c r="G13" s="15" t="s">
        <v>112</v>
      </c>
      <c r="H13" s="15" t="s">
        <v>108</v>
      </c>
      <c r="I13" s="15" t="s">
        <v>113</v>
      </c>
      <c r="J13" s="15"/>
      <c r="K13" s="16">
        <f ca="1">IFERROR(__xludf.DUMMYFUNCTION("COUNTUNIQUE(F13:J13)"),4)</f>
        <v>4</v>
      </c>
      <c r="L13" s="13" t="s">
        <v>97</v>
      </c>
    </row>
    <row r="14" spans="2:12" ht="15.75" customHeight="1">
      <c r="B14" s="20" t="s">
        <v>20</v>
      </c>
      <c r="C14" s="11" t="s">
        <v>52</v>
      </c>
      <c r="D14" s="15" t="s">
        <v>53</v>
      </c>
      <c r="E14" s="11" t="s">
        <v>56</v>
      </c>
      <c r="F14" s="15" t="s">
        <v>113</v>
      </c>
      <c r="G14" s="15" t="s">
        <v>105</v>
      </c>
      <c r="H14" s="15" t="s">
        <v>107</v>
      </c>
      <c r="I14" s="17"/>
      <c r="J14" s="15" t="s">
        <v>99</v>
      </c>
      <c r="K14" s="16">
        <f ca="1">IFERROR(__xludf.DUMMYFUNCTION("COUNTUNIQUE(F14:J14)"),4)</f>
        <v>4</v>
      </c>
      <c r="L14" s="13" t="s">
        <v>97</v>
      </c>
    </row>
    <row r="15" spans="2:12" ht="15.75" customHeight="1">
      <c r="B15" s="21" t="s">
        <v>20</v>
      </c>
      <c r="C15" s="22" t="s">
        <v>114</v>
      </c>
      <c r="D15" s="17" t="s">
        <v>115</v>
      </c>
      <c r="E15" s="22" t="s">
        <v>84</v>
      </c>
      <c r="F15" s="17"/>
      <c r="G15" s="17"/>
      <c r="H15" s="17"/>
      <c r="I15" s="17"/>
      <c r="J15" s="17"/>
      <c r="K15" s="23">
        <f ca="1">IFERROR(__xludf.DUMMYFUNCTION("COUNTUNIQUE(F15:J15)"),0)</f>
        <v>0</v>
      </c>
    </row>
    <row r="16" spans="2:12" ht="15.75" customHeight="1">
      <c r="B16" s="20" t="s">
        <v>20</v>
      </c>
      <c r="C16" s="11" t="s">
        <v>57</v>
      </c>
      <c r="D16" s="15" t="s">
        <v>58</v>
      </c>
      <c r="E16" s="19" t="s">
        <v>61</v>
      </c>
      <c r="F16" s="15" t="s">
        <v>116</v>
      </c>
      <c r="G16" s="15"/>
      <c r="H16" s="15"/>
      <c r="I16" s="15"/>
      <c r="J16" s="15"/>
      <c r="K16" s="16">
        <f ca="1">IFERROR(__xludf.DUMMYFUNCTION("COUNTUNIQUE(F16:J16)"),1)</f>
        <v>1</v>
      </c>
      <c r="L16" s="13" t="s">
        <v>97</v>
      </c>
    </row>
    <row r="17" spans="2:12" ht="15.75" customHeight="1">
      <c r="B17" s="20" t="s">
        <v>20</v>
      </c>
      <c r="C17" s="11"/>
      <c r="D17" s="15" t="s">
        <v>117</v>
      </c>
      <c r="E17" s="11"/>
      <c r="F17" s="15"/>
      <c r="G17" s="15"/>
      <c r="H17" s="15"/>
      <c r="I17" s="15"/>
      <c r="J17" s="16"/>
      <c r="K17" s="16"/>
    </row>
    <row r="18" spans="2:12" ht="15.75" customHeight="1">
      <c r="B18" s="20" t="s">
        <v>20</v>
      </c>
      <c r="C18" s="11"/>
      <c r="D18" s="15" t="s">
        <v>118</v>
      </c>
      <c r="E18" s="11"/>
      <c r="F18" s="15"/>
      <c r="G18" s="15"/>
      <c r="H18" s="15"/>
      <c r="I18" s="15"/>
      <c r="J18" s="16"/>
      <c r="K18" s="16"/>
    </row>
    <row r="19" spans="2:12" ht="15.75" customHeight="1">
      <c r="B19" s="20" t="s">
        <v>20</v>
      </c>
      <c r="C19" s="11" t="s">
        <v>48</v>
      </c>
      <c r="D19" s="15" t="s">
        <v>49</v>
      </c>
      <c r="E19" s="11" t="s">
        <v>36</v>
      </c>
      <c r="F19" s="15" t="s">
        <v>109</v>
      </c>
      <c r="G19" s="15"/>
      <c r="H19" s="15"/>
      <c r="I19" s="15"/>
      <c r="J19" s="16"/>
      <c r="K19" s="16">
        <f ca="1">IFERROR(__xludf.DUMMYFUNCTION("COUNTUNIQUE(F19:J19)"),1)</f>
        <v>1</v>
      </c>
      <c r="L19" s="13" t="s">
        <v>97</v>
      </c>
    </row>
    <row r="20" spans="2:12" ht="15.75" customHeight="1">
      <c r="B20" s="20" t="s">
        <v>20</v>
      </c>
      <c r="C20" s="11"/>
      <c r="D20" s="15" t="s">
        <v>119</v>
      </c>
      <c r="E20" s="11"/>
      <c r="F20" s="15"/>
      <c r="G20" s="15"/>
      <c r="H20" s="15"/>
      <c r="I20" s="15"/>
      <c r="J20" s="15"/>
      <c r="K20" s="16"/>
    </row>
    <row r="21" spans="2:12" ht="15.75" customHeight="1">
      <c r="B21" s="20" t="s">
        <v>20</v>
      </c>
      <c r="C21" s="11" t="s">
        <v>14</v>
      </c>
      <c r="D21" s="15" t="s">
        <v>15</v>
      </c>
      <c r="E21" s="11" t="s">
        <v>18</v>
      </c>
      <c r="F21" s="15" t="s">
        <v>94</v>
      </c>
      <c r="G21" s="15"/>
      <c r="H21" s="15" t="s">
        <v>104</v>
      </c>
      <c r="I21" s="15"/>
      <c r="J21" s="15"/>
      <c r="K21" s="16">
        <f ca="1">IFERROR(__xludf.DUMMYFUNCTION("COUNTUNIQUE(F21:J21)"),2)</f>
        <v>2</v>
      </c>
      <c r="L21" s="13" t="s">
        <v>97</v>
      </c>
    </row>
    <row r="22" spans="2:12" ht="15.75" customHeight="1">
      <c r="B22" s="20" t="s">
        <v>20</v>
      </c>
      <c r="C22" s="11" t="s">
        <v>82</v>
      </c>
      <c r="D22" s="15" t="s">
        <v>83</v>
      </c>
      <c r="E22" s="11" t="s">
        <v>84</v>
      </c>
      <c r="F22" s="15"/>
      <c r="G22" s="15"/>
      <c r="H22" s="15" t="s">
        <v>94</v>
      </c>
      <c r="I22" s="15" t="s">
        <v>104</v>
      </c>
      <c r="J22" s="16"/>
      <c r="K22" s="16">
        <f ca="1">IFERROR(__xludf.DUMMYFUNCTION("COUNTUNIQUE(F22:J22)"),2)</f>
        <v>2</v>
      </c>
      <c r="L22" s="13" t="s">
        <v>97</v>
      </c>
    </row>
    <row r="23" spans="2:12" ht="15.75" customHeight="1">
      <c r="B23" s="20" t="s">
        <v>20</v>
      </c>
      <c r="C23" s="11" t="s">
        <v>62</v>
      </c>
      <c r="D23" s="15" t="s">
        <v>63</v>
      </c>
      <c r="E23" s="11" t="s">
        <v>66</v>
      </c>
      <c r="F23" s="15"/>
      <c r="G23" s="15" t="s">
        <v>98</v>
      </c>
      <c r="H23" s="15" t="s">
        <v>96</v>
      </c>
      <c r="I23" s="15"/>
      <c r="J23" s="15"/>
      <c r="K23" s="16">
        <f ca="1">IFERROR(__xludf.DUMMYFUNCTION("COUNTUNIQUE(F23:J23)"),2)</f>
        <v>2</v>
      </c>
      <c r="L23" s="13" t="s">
        <v>97</v>
      </c>
    </row>
    <row r="24" spans="2:12" ht="15.75" customHeight="1">
      <c r="B24" s="20" t="s">
        <v>20</v>
      </c>
      <c r="C24" s="12"/>
      <c r="D24" s="15" t="s">
        <v>120</v>
      </c>
      <c r="E24" s="12"/>
      <c r="F24" s="16"/>
      <c r="G24" s="16"/>
      <c r="H24" s="16"/>
      <c r="I24" s="16"/>
      <c r="J24" s="16"/>
      <c r="K24" s="16"/>
    </row>
    <row r="25" spans="2:12" ht="15.75" customHeight="1">
      <c r="B25" s="20" t="s">
        <v>20</v>
      </c>
      <c r="C25" s="12"/>
      <c r="D25" s="15" t="s">
        <v>121</v>
      </c>
      <c r="E25" s="12"/>
      <c r="F25" s="16"/>
      <c r="G25" s="16"/>
      <c r="H25" s="16"/>
      <c r="I25" s="16"/>
      <c r="J25" s="16"/>
      <c r="K25" s="16"/>
    </row>
    <row r="26" spans="2:12" ht="15.75" customHeight="1">
      <c r="B26" s="20" t="s">
        <v>20</v>
      </c>
      <c r="C26" s="12"/>
      <c r="D26" s="15" t="s">
        <v>122</v>
      </c>
      <c r="E26" s="12"/>
      <c r="F26" s="16"/>
      <c r="G26" s="16"/>
      <c r="H26" s="16"/>
      <c r="I26" s="16"/>
      <c r="J26" s="16"/>
      <c r="K26" s="16"/>
    </row>
    <row r="27" spans="2:12" ht="15.75" customHeight="1">
      <c r="C27" s="19"/>
      <c r="E27" s="19"/>
      <c r="J27" s="15"/>
      <c r="K27" s="13">
        <f ca="1">SUM(K2:K26)</f>
        <v>36</v>
      </c>
    </row>
    <row r="28" spans="2:12" ht="15.75" customHeight="1">
      <c r="C28" s="19"/>
      <c r="E28" s="19"/>
    </row>
    <row r="29" spans="2:12" ht="15.75" customHeight="1">
      <c r="C29" s="19"/>
      <c r="E29" s="19"/>
    </row>
    <row r="30" spans="2:12" ht="15.75" customHeight="1">
      <c r="C30" s="19"/>
      <c r="E30" s="19"/>
    </row>
    <row r="31" spans="2:12" ht="15.75" customHeight="1">
      <c r="C31" s="19"/>
      <c r="E31" s="19"/>
    </row>
    <row r="32" spans="2:12" ht="15.75" customHeight="1">
      <c r="C32" s="19"/>
      <c r="E32" s="19"/>
    </row>
    <row r="33" spans="3:5" ht="15.75" customHeight="1">
      <c r="C33" s="19"/>
      <c r="E33" s="19"/>
    </row>
    <row r="34" spans="3:5" ht="15.75" customHeight="1">
      <c r="C34" s="19"/>
      <c r="E34" s="19"/>
    </row>
    <row r="35" spans="3:5" ht="15.75" customHeight="1">
      <c r="C35" s="19"/>
      <c r="E35" s="19"/>
    </row>
    <row r="36" spans="3:5" ht="15.75" customHeight="1">
      <c r="C36" s="19"/>
      <c r="E36" s="19"/>
    </row>
    <row r="37" spans="3:5" ht="15.75" customHeight="1">
      <c r="C37" s="19"/>
      <c r="E37" s="19"/>
    </row>
    <row r="38" spans="3:5" ht="15.75" customHeight="1">
      <c r="C38" s="19"/>
      <c r="E38" s="19"/>
    </row>
    <row r="39" spans="3:5" ht="15.75" customHeight="1">
      <c r="C39" s="19"/>
      <c r="E39" s="19"/>
    </row>
    <row r="40" spans="3:5" ht="15.75" customHeight="1">
      <c r="C40" s="19"/>
      <c r="E40" s="19"/>
    </row>
    <row r="41" spans="3:5" ht="15.75" customHeight="1">
      <c r="C41" s="19"/>
      <c r="E41" s="19"/>
    </row>
    <row r="42" spans="3:5" ht="15.75" customHeight="1">
      <c r="C42" s="19"/>
      <c r="E42" s="19"/>
    </row>
    <row r="43" spans="3:5" ht="15.75" customHeight="1">
      <c r="C43" s="19"/>
      <c r="E43" s="19"/>
    </row>
    <row r="44" spans="3:5" ht="15.75" customHeight="1">
      <c r="C44" s="19"/>
      <c r="E44" s="19"/>
    </row>
    <row r="45" spans="3:5" ht="15.75" customHeight="1">
      <c r="C45" s="19"/>
      <c r="E45" s="19"/>
    </row>
    <row r="46" spans="3:5" ht="15.75" customHeight="1">
      <c r="C46" s="19"/>
      <c r="E46" s="19"/>
    </row>
    <row r="47" spans="3:5" ht="15.75" customHeight="1">
      <c r="C47" s="19"/>
      <c r="E47" s="19"/>
    </row>
    <row r="48" spans="3:5" ht="15.75" customHeight="1">
      <c r="C48" s="19"/>
      <c r="E48" s="19"/>
    </row>
    <row r="49" spans="3:5" ht="15.75" customHeight="1">
      <c r="C49" s="19"/>
      <c r="E49" s="19"/>
    </row>
    <row r="50" spans="3:5" ht="15.75" customHeight="1">
      <c r="C50" s="19"/>
      <c r="E50" s="19"/>
    </row>
    <row r="51" spans="3:5" ht="15.75" customHeight="1">
      <c r="C51" s="19"/>
      <c r="E51" s="19"/>
    </row>
    <row r="52" spans="3:5" ht="15.75" customHeight="1">
      <c r="C52" s="19"/>
      <c r="E52" s="19"/>
    </row>
    <row r="53" spans="3:5" ht="15.75" customHeight="1">
      <c r="C53" s="19"/>
      <c r="E53" s="19"/>
    </row>
    <row r="54" spans="3:5" ht="15.75" customHeight="1">
      <c r="C54" s="19"/>
      <c r="E54" s="19"/>
    </row>
    <row r="55" spans="3:5" ht="15.75" customHeight="1">
      <c r="C55" s="19"/>
      <c r="E55" s="19"/>
    </row>
    <row r="56" spans="3:5" ht="15.75" customHeight="1">
      <c r="C56" s="19"/>
      <c r="E56" s="19"/>
    </row>
    <row r="57" spans="3:5" ht="15.75" customHeight="1">
      <c r="C57" s="19"/>
      <c r="E57" s="19"/>
    </row>
    <row r="58" spans="3:5" ht="15.75" customHeight="1">
      <c r="C58" s="19"/>
      <c r="E58" s="19"/>
    </row>
    <row r="59" spans="3:5" ht="15.75" customHeight="1">
      <c r="C59" s="19"/>
      <c r="E59" s="19"/>
    </row>
    <row r="60" spans="3:5" ht="15.75" customHeight="1">
      <c r="C60" s="19"/>
      <c r="E60" s="19"/>
    </row>
    <row r="61" spans="3:5" ht="15.75" customHeight="1">
      <c r="C61" s="19"/>
      <c r="E61" s="19"/>
    </row>
    <row r="62" spans="3:5" ht="15.75" customHeight="1">
      <c r="C62" s="19"/>
      <c r="E62" s="19"/>
    </row>
    <row r="63" spans="3:5" ht="15.75" customHeight="1">
      <c r="C63" s="19"/>
      <c r="E63" s="19"/>
    </row>
    <row r="64" spans="3:5" ht="15.75" customHeight="1">
      <c r="C64" s="19"/>
      <c r="E64" s="19"/>
    </row>
    <row r="65" spans="3:5" ht="15.75" customHeight="1">
      <c r="C65" s="19"/>
      <c r="E65" s="19"/>
    </row>
    <row r="66" spans="3:5" ht="15.75" customHeight="1">
      <c r="C66" s="19"/>
      <c r="E66" s="19"/>
    </row>
    <row r="67" spans="3:5" ht="15.75" customHeight="1">
      <c r="C67" s="19"/>
      <c r="E67" s="19"/>
    </row>
    <row r="68" spans="3:5" ht="15.75" customHeight="1">
      <c r="C68" s="19"/>
      <c r="E68" s="19"/>
    </row>
    <row r="69" spans="3:5" ht="15.75" customHeight="1">
      <c r="C69" s="19"/>
      <c r="E69" s="19"/>
    </row>
    <row r="70" spans="3:5" ht="15.75" customHeight="1">
      <c r="C70" s="19"/>
      <c r="E70" s="19"/>
    </row>
    <row r="71" spans="3:5" ht="15.75" customHeight="1">
      <c r="C71" s="19"/>
      <c r="E71" s="19"/>
    </row>
    <row r="72" spans="3:5" ht="15.75" customHeight="1">
      <c r="C72" s="19"/>
      <c r="E72" s="19"/>
    </row>
    <row r="73" spans="3:5" ht="15.75" customHeight="1">
      <c r="C73" s="19"/>
      <c r="E73" s="19"/>
    </row>
    <row r="74" spans="3:5" ht="15.75" customHeight="1">
      <c r="C74" s="19"/>
      <c r="E74" s="19"/>
    </row>
    <row r="75" spans="3:5" ht="15.75" customHeight="1">
      <c r="C75" s="19"/>
      <c r="E75" s="19"/>
    </row>
    <row r="76" spans="3:5" ht="15.75" customHeight="1">
      <c r="C76" s="19"/>
      <c r="E76" s="19"/>
    </row>
    <row r="77" spans="3:5" ht="15.75" customHeight="1">
      <c r="C77" s="19"/>
      <c r="E77" s="19"/>
    </row>
    <row r="78" spans="3:5" ht="15.75" customHeight="1">
      <c r="C78" s="19"/>
      <c r="E78" s="19"/>
    </row>
    <row r="79" spans="3:5" ht="15.75" customHeight="1">
      <c r="C79" s="19"/>
      <c r="E79" s="19"/>
    </row>
    <row r="80" spans="3:5" ht="15.75" customHeight="1">
      <c r="C80" s="19"/>
      <c r="E80" s="19"/>
    </row>
    <row r="81" spans="3:5" ht="15.75" customHeight="1">
      <c r="C81" s="19"/>
      <c r="E81" s="19"/>
    </row>
    <row r="82" spans="3:5" ht="15.75" customHeight="1">
      <c r="C82" s="19"/>
      <c r="E82" s="19"/>
    </row>
    <row r="83" spans="3:5" ht="15.75" customHeight="1">
      <c r="C83" s="19"/>
      <c r="E83" s="19"/>
    </row>
    <row r="84" spans="3:5" ht="15.75" customHeight="1">
      <c r="C84" s="19"/>
      <c r="E84" s="19"/>
    </row>
    <row r="85" spans="3:5" ht="15.75" customHeight="1">
      <c r="C85" s="19"/>
      <c r="E85" s="19"/>
    </row>
    <row r="86" spans="3:5" ht="15.75" customHeight="1">
      <c r="C86" s="19"/>
      <c r="E86" s="19"/>
    </row>
    <row r="87" spans="3:5" ht="15.75" customHeight="1">
      <c r="C87" s="19"/>
      <c r="E87" s="19"/>
    </row>
    <row r="88" spans="3:5" ht="15.75" customHeight="1">
      <c r="C88" s="19"/>
      <c r="E88" s="19"/>
    </row>
    <row r="89" spans="3:5" ht="15.75" customHeight="1">
      <c r="C89" s="19"/>
      <c r="E89" s="19"/>
    </row>
    <row r="90" spans="3:5" ht="15.75" customHeight="1">
      <c r="C90" s="19"/>
      <c r="E90" s="19"/>
    </row>
    <row r="91" spans="3:5" ht="15.75" customHeight="1">
      <c r="C91" s="19"/>
      <c r="E91" s="19"/>
    </row>
    <row r="92" spans="3:5" ht="15.75" customHeight="1">
      <c r="C92" s="19"/>
      <c r="E92" s="19"/>
    </row>
    <row r="93" spans="3:5" ht="15.75" customHeight="1">
      <c r="C93" s="19"/>
      <c r="E93" s="19"/>
    </row>
    <row r="94" spans="3:5" ht="15.75" customHeight="1">
      <c r="C94" s="19"/>
      <c r="E94" s="19"/>
    </row>
    <row r="95" spans="3:5" ht="15.75" customHeight="1">
      <c r="C95" s="19"/>
      <c r="E95" s="19"/>
    </row>
    <row r="96" spans="3:5" ht="15.75" customHeight="1">
      <c r="C96" s="19"/>
      <c r="E96" s="19"/>
    </row>
    <row r="97" spans="3:5" ht="15.75" customHeight="1">
      <c r="C97" s="19"/>
      <c r="E97" s="19"/>
    </row>
    <row r="98" spans="3:5" ht="15.75" customHeight="1">
      <c r="C98" s="19"/>
      <c r="E98" s="19"/>
    </row>
    <row r="99" spans="3:5" ht="15.75" customHeight="1">
      <c r="C99" s="19"/>
      <c r="E99" s="19"/>
    </row>
    <row r="100" spans="3:5" ht="15.75" customHeight="1">
      <c r="C100" s="19"/>
      <c r="E100" s="19"/>
    </row>
    <row r="101" spans="3:5" ht="15.75" customHeight="1">
      <c r="C101" s="19"/>
      <c r="E101" s="19"/>
    </row>
    <row r="102" spans="3:5" ht="15.75" customHeight="1">
      <c r="C102" s="19"/>
      <c r="E102" s="19"/>
    </row>
    <row r="103" spans="3:5" ht="15.75" customHeight="1">
      <c r="C103" s="19"/>
      <c r="E103" s="19"/>
    </row>
    <row r="104" spans="3:5" ht="15.75" customHeight="1">
      <c r="C104" s="19"/>
      <c r="E104" s="19"/>
    </row>
    <row r="105" spans="3:5" ht="15.75" customHeight="1">
      <c r="C105" s="19"/>
      <c r="E105" s="19"/>
    </row>
    <row r="106" spans="3:5" ht="15.75" customHeight="1">
      <c r="C106" s="19"/>
      <c r="E106" s="19"/>
    </row>
    <row r="107" spans="3:5" ht="15.75" customHeight="1">
      <c r="C107" s="19"/>
      <c r="E107" s="19"/>
    </row>
    <row r="108" spans="3:5" ht="15.75" customHeight="1">
      <c r="C108" s="19"/>
      <c r="E108" s="19"/>
    </row>
    <row r="109" spans="3:5" ht="15.75" customHeight="1">
      <c r="C109" s="19"/>
      <c r="E109" s="19"/>
    </row>
    <row r="110" spans="3:5" ht="15.75" customHeight="1">
      <c r="C110" s="19"/>
      <c r="E110" s="19"/>
    </row>
    <row r="111" spans="3:5" ht="15.75" customHeight="1">
      <c r="C111" s="19"/>
      <c r="E111" s="19"/>
    </row>
    <row r="112" spans="3:5" ht="15.75" customHeight="1">
      <c r="C112" s="19"/>
      <c r="E112" s="19"/>
    </row>
    <row r="113" spans="3:5" ht="15.75" customHeight="1">
      <c r="C113" s="19"/>
      <c r="E113" s="19"/>
    </row>
    <row r="114" spans="3:5" ht="15.75" customHeight="1">
      <c r="C114" s="19"/>
      <c r="E114" s="19"/>
    </row>
    <row r="115" spans="3:5" ht="15.75" customHeight="1">
      <c r="C115" s="19"/>
      <c r="E115" s="19"/>
    </row>
    <row r="116" spans="3:5" ht="15.75" customHeight="1">
      <c r="C116" s="19"/>
      <c r="E116" s="19"/>
    </row>
    <row r="117" spans="3:5" ht="15.75" customHeight="1">
      <c r="C117" s="19"/>
      <c r="E117" s="19"/>
    </row>
    <row r="118" spans="3:5" ht="15.75" customHeight="1">
      <c r="C118" s="19"/>
      <c r="E118" s="19"/>
    </row>
    <row r="119" spans="3:5" ht="15.75" customHeight="1">
      <c r="C119" s="19"/>
      <c r="E119" s="19"/>
    </row>
    <row r="120" spans="3:5" ht="15.75" customHeight="1">
      <c r="C120" s="19"/>
      <c r="E120" s="19"/>
    </row>
    <row r="121" spans="3:5" ht="15.75" customHeight="1">
      <c r="C121" s="19"/>
      <c r="E121" s="19"/>
    </row>
    <row r="122" spans="3:5" ht="15.75" customHeight="1">
      <c r="C122" s="19"/>
      <c r="E122" s="19"/>
    </row>
    <row r="123" spans="3:5" ht="15.75" customHeight="1">
      <c r="C123" s="19"/>
      <c r="E123" s="19"/>
    </row>
    <row r="124" spans="3:5" ht="15.75" customHeight="1">
      <c r="C124" s="19"/>
      <c r="E124" s="19"/>
    </row>
    <row r="125" spans="3:5" ht="15.75" customHeight="1">
      <c r="C125" s="19"/>
      <c r="E125" s="19"/>
    </row>
    <row r="126" spans="3:5" ht="15.75" customHeight="1">
      <c r="C126" s="19"/>
      <c r="E126" s="19"/>
    </row>
    <row r="127" spans="3:5" ht="15.75" customHeight="1">
      <c r="C127" s="19"/>
      <c r="E127" s="19"/>
    </row>
    <row r="128" spans="3:5" ht="15.75" customHeight="1">
      <c r="C128" s="19"/>
      <c r="E128" s="19"/>
    </row>
    <row r="129" spans="3:5" ht="15.75" customHeight="1">
      <c r="C129" s="19"/>
      <c r="E129" s="19"/>
    </row>
    <row r="130" spans="3:5" ht="15.75" customHeight="1">
      <c r="C130" s="19"/>
      <c r="E130" s="19"/>
    </row>
    <row r="131" spans="3:5" ht="15.75" customHeight="1">
      <c r="C131" s="19"/>
      <c r="E131" s="19"/>
    </row>
    <row r="132" spans="3:5" ht="15.75" customHeight="1">
      <c r="C132" s="19"/>
      <c r="E132" s="19"/>
    </row>
    <row r="133" spans="3:5" ht="15.75" customHeight="1">
      <c r="C133" s="19"/>
      <c r="E133" s="19"/>
    </row>
    <row r="134" spans="3:5" ht="15.75" customHeight="1">
      <c r="C134" s="19"/>
      <c r="E134" s="19"/>
    </row>
    <row r="135" spans="3:5" ht="15.75" customHeight="1">
      <c r="C135" s="19"/>
      <c r="E135" s="19"/>
    </row>
    <row r="136" spans="3:5" ht="15.75" customHeight="1">
      <c r="C136" s="19"/>
      <c r="E136" s="19"/>
    </row>
    <row r="137" spans="3:5" ht="15.75" customHeight="1">
      <c r="C137" s="19"/>
      <c r="E137" s="19"/>
    </row>
    <row r="138" spans="3:5" ht="15.75" customHeight="1">
      <c r="C138" s="19"/>
      <c r="E138" s="19"/>
    </row>
    <row r="139" spans="3:5" ht="15.75" customHeight="1">
      <c r="C139" s="19"/>
      <c r="E139" s="19"/>
    </row>
    <row r="140" spans="3:5" ht="15.75" customHeight="1">
      <c r="C140" s="19"/>
      <c r="E140" s="19"/>
    </row>
    <row r="141" spans="3:5" ht="15.75" customHeight="1">
      <c r="C141" s="19"/>
      <c r="E141" s="19"/>
    </row>
    <row r="142" spans="3:5" ht="15.75" customHeight="1">
      <c r="C142" s="19"/>
      <c r="E142" s="19"/>
    </row>
    <row r="143" spans="3:5" ht="15.75" customHeight="1">
      <c r="C143" s="19"/>
      <c r="E143" s="19"/>
    </row>
    <row r="144" spans="3:5" ht="15.75" customHeight="1">
      <c r="C144" s="19"/>
      <c r="E144" s="19"/>
    </row>
    <row r="145" spans="3:5" ht="15.75" customHeight="1">
      <c r="C145" s="19"/>
      <c r="E145" s="19"/>
    </row>
    <row r="146" spans="3:5" ht="15.75" customHeight="1">
      <c r="C146" s="19"/>
      <c r="E146" s="19"/>
    </row>
    <row r="147" spans="3:5" ht="15.75" customHeight="1">
      <c r="C147" s="19"/>
      <c r="E147" s="19"/>
    </row>
    <row r="148" spans="3:5" ht="15.75" customHeight="1">
      <c r="C148" s="19"/>
      <c r="E148" s="19"/>
    </row>
    <row r="149" spans="3:5" ht="15.75" customHeight="1">
      <c r="C149" s="19"/>
      <c r="E149" s="19"/>
    </row>
    <row r="150" spans="3:5" ht="15.75" customHeight="1">
      <c r="C150" s="19"/>
      <c r="E150" s="19"/>
    </row>
    <row r="151" spans="3:5" ht="15.75" customHeight="1">
      <c r="C151" s="19"/>
      <c r="E151" s="19"/>
    </row>
    <row r="152" spans="3:5" ht="15.75" customHeight="1">
      <c r="C152" s="19"/>
      <c r="E152" s="19"/>
    </row>
    <row r="153" spans="3:5" ht="15.75" customHeight="1">
      <c r="C153" s="19"/>
      <c r="E153" s="19"/>
    </row>
    <row r="154" spans="3:5" ht="15.75" customHeight="1">
      <c r="C154" s="19"/>
      <c r="E154" s="19"/>
    </row>
    <row r="155" spans="3:5" ht="15.75" customHeight="1">
      <c r="C155" s="19"/>
      <c r="E155" s="19"/>
    </row>
    <row r="156" spans="3:5" ht="15.75" customHeight="1">
      <c r="C156" s="19"/>
      <c r="E156" s="19"/>
    </row>
    <row r="157" spans="3:5" ht="15.75" customHeight="1">
      <c r="C157" s="19"/>
      <c r="E157" s="19"/>
    </row>
    <row r="158" spans="3:5" ht="15.75" customHeight="1">
      <c r="C158" s="19"/>
      <c r="E158" s="19"/>
    </row>
    <row r="159" spans="3:5" ht="15.75" customHeight="1">
      <c r="C159" s="19"/>
      <c r="E159" s="19"/>
    </row>
    <row r="160" spans="3:5" ht="15.75" customHeight="1">
      <c r="C160" s="19"/>
      <c r="E160" s="19"/>
    </row>
    <row r="161" spans="3:5" ht="15.75" customHeight="1">
      <c r="C161" s="19"/>
      <c r="E161" s="19"/>
    </row>
    <row r="162" spans="3:5" ht="15.75" customHeight="1">
      <c r="C162" s="19"/>
      <c r="E162" s="19"/>
    </row>
    <row r="163" spans="3:5" ht="15.75" customHeight="1">
      <c r="C163" s="19"/>
      <c r="E163" s="19"/>
    </row>
    <row r="164" spans="3:5" ht="15.75" customHeight="1">
      <c r="C164" s="19"/>
      <c r="E164" s="19"/>
    </row>
    <row r="165" spans="3:5" ht="15.75" customHeight="1">
      <c r="C165" s="19"/>
      <c r="E165" s="19"/>
    </row>
    <row r="166" spans="3:5" ht="15.75" customHeight="1">
      <c r="C166" s="19"/>
      <c r="E166" s="19"/>
    </row>
    <row r="167" spans="3:5" ht="15.75" customHeight="1">
      <c r="C167" s="19"/>
      <c r="E167" s="19"/>
    </row>
    <row r="168" spans="3:5" ht="15.75" customHeight="1">
      <c r="C168" s="19"/>
      <c r="E168" s="19"/>
    </row>
    <row r="169" spans="3:5" ht="15.75" customHeight="1">
      <c r="C169" s="19"/>
      <c r="E169" s="19"/>
    </row>
    <row r="170" spans="3:5" ht="15.75" customHeight="1">
      <c r="C170" s="19"/>
      <c r="E170" s="19"/>
    </row>
    <row r="171" spans="3:5" ht="15.75" customHeight="1">
      <c r="C171" s="19"/>
      <c r="E171" s="19"/>
    </row>
    <row r="172" spans="3:5" ht="15.75" customHeight="1">
      <c r="C172" s="19"/>
      <c r="E172" s="19"/>
    </row>
    <row r="173" spans="3:5" ht="15.75" customHeight="1">
      <c r="C173" s="19"/>
      <c r="E173" s="19"/>
    </row>
    <row r="174" spans="3:5" ht="15.75" customHeight="1">
      <c r="C174" s="19"/>
      <c r="E174" s="19"/>
    </row>
    <row r="175" spans="3:5" ht="15.75" customHeight="1">
      <c r="C175" s="19"/>
      <c r="E175" s="19"/>
    </row>
    <row r="176" spans="3:5" ht="15.75" customHeight="1">
      <c r="C176" s="19"/>
      <c r="E176" s="19"/>
    </row>
    <row r="177" spans="3:5" ht="15.75" customHeight="1">
      <c r="C177" s="19"/>
      <c r="E177" s="19"/>
    </row>
    <row r="178" spans="3:5" ht="15.75" customHeight="1">
      <c r="C178" s="19"/>
      <c r="E178" s="19"/>
    </row>
    <row r="179" spans="3:5" ht="15.75" customHeight="1">
      <c r="C179" s="19"/>
      <c r="E179" s="19"/>
    </row>
    <row r="180" spans="3:5" ht="15.75" customHeight="1">
      <c r="C180" s="19"/>
      <c r="E180" s="19"/>
    </row>
    <row r="181" spans="3:5" ht="15.75" customHeight="1">
      <c r="C181" s="19"/>
      <c r="E181" s="19"/>
    </row>
    <row r="182" spans="3:5" ht="15.75" customHeight="1">
      <c r="C182" s="19"/>
      <c r="E182" s="19"/>
    </row>
    <row r="183" spans="3:5" ht="15.75" customHeight="1">
      <c r="C183" s="19"/>
      <c r="E183" s="19"/>
    </row>
    <row r="184" spans="3:5" ht="15.75" customHeight="1">
      <c r="C184" s="19"/>
      <c r="E184" s="19"/>
    </row>
    <row r="185" spans="3:5" ht="15.75" customHeight="1">
      <c r="C185" s="19"/>
      <c r="E185" s="19"/>
    </row>
    <row r="186" spans="3:5" ht="15.75" customHeight="1">
      <c r="C186" s="19"/>
      <c r="E186" s="19"/>
    </row>
    <row r="187" spans="3:5" ht="15.75" customHeight="1">
      <c r="C187" s="19"/>
      <c r="E187" s="19"/>
    </row>
    <row r="188" spans="3:5" ht="15.75" customHeight="1">
      <c r="C188" s="19"/>
      <c r="E188" s="19"/>
    </row>
    <row r="189" spans="3:5" ht="15.75" customHeight="1">
      <c r="C189" s="19"/>
      <c r="E189" s="19"/>
    </row>
    <row r="190" spans="3:5" ht="15.75" customHeight="1">
      <c r="C190" s="19"/>
      <c r="E190" s="19"/>
    </row>
    <row r="191" spans="3:5" ht="15.75" customHeight="1">
      <c r="C191" s="19"/>
      <c r="E191" s="19"/>
    </row>
    <row r="192" spans="3:5" ht="15.75" customHeight="1">
      <c r="C192" s="19"/>
      <c r="E192" s="19"/>
    </row>
    <row r="193" spans="3:5" ht="15.75" customHeight="1">
      <c r="C193" s="19"/>
      <c r="E193" s="19"/>
    </row>
    <row r="194" spans="3:5" ht="15.75" customHeight="1">
      <c r="C194" s="19"/>
      <c r="E194" s="19"/>
    </row>
    <row r="195" spans="3:5" ht="15.75" customHeight="1">
      <c r="C195" s="19"/>
      <c r="E195" s="19"/>
    </row>
    <row r="196" spans="3:5" ht="15.75" customHeight="1">
      <c r="C196" s="19"/>
      <c r="E196" s="19"/>
    </row>
    <row r="197" spans="3:5" ht="15.75" customHeight="1">
      <c r="C197" s="19"/>
      <c r="E197" s="19"/>
    </row>
    <row r="198" spans="3:5" ht="15.75" customHeight="1">
      <c r="C198" s="19"/>
      <c r="E198" s="19"/>
    </row>
    <row r="199" spans="3:5" ht="15.75" customHeight="1">
      <c r="C199" s="19"/>
      <c r="E199" s="19"/>
    </row>
    <row r="200" spans="3:5" ht="15.75" customHeight="1">
      <c r="C200" s="19"/>
      <c r="E200" s="19"/>
    </row>
    <row r="201" spans="3:5" ht="15.75" customHeight="1">
      <c r="C201" s="19"/>
      <c r="E201" s="19"/>
    </row>
    <row r="202" spans="3:5" ht="15.75" customHeight="1">
      <c r="C202" s="19"/>
      <c r="E202" s="19"/>
    </row>
    <row r="203" spans="3:5" ht="15.75" customHeight="1">
      <c r="C203" s="19"/>
      <c r="E203" s="19"/>
    </row>
    <row r="204" spans="3:5" ht="15.75" customHeight="1">
      <c r="C204" s="19"/>
      <c r="E204" s="19"/>
    </row>
    <row r="205" spans="3:5" ht="15.75" customHeight="1">
      <c r="C205" s="19"/>
      <c r="E205" s="19"/>
    </row>
    <row r="206" spans="3:5" ht="15.75" customHeight="1">
      <c r="C206" s="19"/>
      <c r="E206" s="19"/>
    </row>
    <row r="207" spans="3:5" ht="15.75" customHeight="1">
      <c r="C207" s="19"/>
      <c r="E207" s="19"/>
    </row>
    <row r="208" spans="3:5" ht="15.75" customHeight="1">
      <c r="C208" s="19"/>
      <c r="E208" s="19"/>
    </row>
    <row r="209" spans="3:5" ht="15.75" customHeight="1">
      <c r="C209" s="19"/>
      <c r="E209" s="19"/>
    </row>
    <row r="210" spans="3:5" ht="15.75" customHeight="1">
      <c r="C210" s="19"/>
      <c r="E210" s="19"/>
    </row>
    <row r="211" spans="3:5" ht="15.75" customHeight="1">
      <c r="C211" s="19"/>
      <c r="E211" s="19"/>
    </row>
    <row r="212" spans="3:5" ht="15.75" customHeight="1">
      <c r="C212" s="19"/>
      <c r="E212" s="19"/>
    </row>
    <row r="213" spans="3:5" ht="15.75" customHeight="1">
      <c r="C213" s="19"/>
      <c r="E213" s="19"/>
    </row>
    <row r="214" spans="3:5" ht="15.75" customHeight="1">
      <c r="C214" s="19"/>
      <c r="E214" s="19"/>
    </row>
    <row r="215" spans="3:5" ht="15.75" customHeight="1">
      <c r="C215" s="19"/>
      <c r="E215" s="19"/>
    </row>
    <row r="216" spans="3:5" ht="15.75" customHeight="1">
      <c r="C216" s="19"/>
      <c r="E216" s="19"/>
    </row>
    <row r="217" spans="3:5" ht="15.75" customHeight="1">
      <c r="C217" s="19"/>
      <c r="E217" s="19"/>
    </row>
    <row r="218" spans="3:5" ht="15.75" customHeight="1">
      <c r="C218" s="19"/>
      <c r="E218" s="19"/>
    </row>
    <row r="219" spans="3:5" ht="15.75" customHeight="1">
      <c r="C219" s="19"/>
      <c r="E219" s="19"/>
    </row>
    <row r="220" spans="3:5" ht="15.75" customHeight="1">
      <c r="C220" s="19"/>
      <c r="E220" s="19"/>
    </row>
    <row r="221" spans="3:5" ht="15.75" customHeight="1">
      <c r="C221" s="19"/>
      <c r="E221" s="19"/>
    </row>
    <row r="222" spans="3:5" ht="15.75" customHeight="1">
      <c r="C222" s="19"/>
      <c r="E222" s="19"/>
    </row>
    <row r="223" spans="3:5" ht="15.75" customHeight="1">
      <c r="C223" s="19"/>
      <c r="E223" s="19"/>
    </row>
    <row r="224" spans="3:5" ht="15.75" customHeight="1">
      <c r="C224" s="19"/>
      <c r="E224" s="19"/>
    </row>
    <row r="225" spans="3:5" ht="15.75" customHeight="1">
      <c r="C225" s="19"/>
      <c r="E225" s="19"/>
    </row>
    <row r="226" spans="3:5" ht="15.75" customHeight="1">
      <c r="C226" s="19"/>
      <c r="E226" s="19"/>
    </row>
    <row r="227" spans="3:5" ht="15.75" customHeight="1">
      <c r="C227" s="19"/>
      <c r="E227" s="19"/>
    </row>
    <row r="228" spans="3:5" ht="15.75" customHeight="1"/>
    <row r="229" spans="3:5" ht="15.75" customHeight="1"/>
    <row r="230" spans="3:5" ht="15.75" customHeight="1"/>
    <row r="231" spans="3:5" ht="15.75" customHeight="1"/>
    <row r="232" spans="3:5" ht="15.75" customHeight="1"/>
    <row r="233" spans="3:5" ht="15.75" customHeight="1"/>
    <row r="234" spans="3:5" ht="15.75" customHeight="1"/>
    <row r="235" spans="3:5" ht="15.75" customHeight="1"/>
    <row r="236" spans="3:5" ht="15.75" customHeight="1"/>
    <row r="237" spans="3:5" ht="15.75" customHeight="1"/>
    <row r="238" spans="3:5" ht="15.75" customHeight="1"/>
    <row r="239" spans="3:5" ht="15.75" customHeight="1"/>
    <row r="240" spans="3: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D9" r:id="rId1" xr:uid="{00000000-0004-0000-0100-000000000000}"/>
  </hyperlink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6640625" defaultRowHeight="15" customHeight="1"/>
  <cols>
    <col min="1" max="1" width="12.6640625" customWidth="1"/>
    <col min="2" max="2" width="15.6640625" customWidth="1"/>
    <col min="3" max="3" width="14.33203125" customWidth="1"/>
    <col min="4" max="8" width="21.6640625" customWidth="1"/>
  </cols>
  <sheetData>
    <row r="1" spans="1:9" ht="15.75" customHeight="1">
      <c r="A1" s="12" t="s">
        <v>88</v>
      </c>
      <c r="B1" s="11" t="s">
        <v>123</v>
      </c>
      <c r="C1" s="11" t="s">
        <v>5</v>
      </c>
      <c r="D1" s="11" t="s">
        <v>13</v>
      </c>
      <c r="E1" s="11" t="s">
        <v>70</v>
      </c>
      <c r="F1" s="11" t="s">
        <v>79</v>
      </c>
      <c r="G1" s="11" t="s">
        <v>85</v>
      </c>
      <c r="H1" s="11" t="s">
        <v>87</v>
      </c>
      <c r="I1" s="12" t="s">
        <v>92</v>
      </c>
    </row>
    <row r="2" spans="1:9" ht="15.75" customHeight="1">
      <c r="A2" s="24" t="s">
        <v>19</v>
      </c>
      <c r="B2" s="11" t="s">
        <v>104</v>
      </c>
      <c r="C2" s="15" t="s">
        <v>30</v>
      </c>
      <c r="D2" s="15" t="s">
        <v>27</v>
      </c>
      <c r="E2" s="15" t="s">
        <v>38</v>
      </c>
      <c r="F2" s="15" t="s">
        <v>14</v>
      </c>
      <c r="G2" s="15" t="s">
        <v>82</v>
      </c>
      <c r="H2" s="15"/>
      <c r="I2" s="16">
        <f ca="1">IFERROR(__xludf.DUMMYFUNCTION("COUNTUNIQUE(D2:H2)"),4)</f>
        <v>4</v>
      </c>
    </row>
    <row r="3" spans="1:9" ht="15.75" customHeight="1">
      <c r="A3" s="24"/>
      <c r="B3" s="11"/>
      <c r="C3" s="15"/>
      <c r="D3" s="25" t="str">
        <f>IFERROR(VLOOKUP(D2,'Invetsor View'!$C$1:$E$26,3,FALSE()),)</f>
        <v>FF-Aspire</v>
      </c>
      <c r="E3" s="25" t="str">
        <f>IFERROR(VLOOKUP(E2,'Invetsor View'!$C$1:$E$26,3,FALSE()),)</f>
        <v>GF-Clout</v>
      </c>
      <c r="F3" s="25" t="str">
        <f>IFERROR(VLOOKUP(F2,'Invetsor View'!$C$1:$E$26,3,FALSE()),)</f>
        <v>FF-Introspect</v>
      </c>
      <c r="G3" s="25" t="str">
        <f>IFERROR(VLOOKUP(G2,'Invetsor View'!$C$1:$E$26,3,FALSE()),)</f>
        <v>FF-Balance</v>
      </c>
      <c r="H3" s="25">
        <f>IFERROR(VLOOKUP(H2,'Invetsor View'!$C$1:$E$26,3,FALSE()),)</f>
        <v>0</v>
      </c>
      <c r="I3" s="16"/>
    </row>
    <row r="4" spans="1:9" ht="15.75" customHeight="1">
      <c r="A4" s="24" t="s">
        <v>19</v>
      </c>
      <c r="B4" s="11" t="s">
        <v>105</v>
      </c>
      <c r="C4" s="15" t="s">
        <v>78</v>
      </c>
      <c r="D4" s="15"/>
      <c r="E4" s="15" t="s">
        <v>52</v>
      </c>
      <c r="F4" s="15" t="s">
        <v>38</v>
      </c>
      <c r="G4" s="15"/>
      <c r="H4" s="15"/>
      <c r="I4" s="16">
        <f ca="1">IFERROR(__xludf.DUMMYFUNCTION("COUNTUNIQUE(D4:H4)"),2)</f>
        <v>2</v>
      </c>
    </row>
    <row r="5" spans="1:9" ht="15.75" customHeight="1">
      <c r="A5" s="24"/>
      <c r="B5" s="11"/>
      <c r="C5" s="15"/>
      <c r="D5" s="25">
        <f>IFERROR(VLOOKUP(D4,'Invetsor View'!$C$1:$E$26,3,FALSE()),)</f>
        <v>0</v>
      </c>
      <c r="E5" s="25" t="str">
        <f>IFERROR(VLOOKUP(E4,'Invetsor View'!$C$1:$E$26,3,FALSE()),)</f>
        <v>FF-Library</v>
      </c>
      <c r="F5" s="25" t="str">
        <f>IFERROR(VLOOKUP(F4,'Invetsor View'!$C$1:$E$26,3,FALSE()),)</f>
        <v>GF-Clout</v>
      </c>
      <c r="G5" s="25">
        <f>IFERROR(VLOOKUP(G4,'Invetsor View'!$C$1:$E$26,3,FALSE()),)</f>
        <v>0</v>
      </c>
      <c r="H5" s="25">
        <f>IFERROR(VLOOKUP(H4,'Invetsor View'!$C$1:$E$26,3,FALSE()),)</f>
        <v>0</v>
      </c>
      <c r="I5" s="16"/>
    </row>
    <row r="6" spans="1:9" ht="15.75" customHeight="1">
      <c r="A6" s="24" t="s">
        <v>19</v>
      </c>
      <c r="B6" s="11" t="s">
        <v>94</v>
      </c>
      <c r="C6" s="15" t="s">
        <v>17</v>
      </c>
      <c r="D6" s="15" t="s">
        <v>14</v>
      </c>
      <c r="E6" s="15" t="s">
        <v>67</v>
      </c>
      <c r="F6" s="15" t="s">
        <v>82</v>
      </c>
      <c r="G6" s="15" t="s">
        <v>38</v>
      </c>
      <c r="H6" s="15"/>
      <c r="I6" s="16">
        <f ca="1">IFERROR(__xludf.DUMMYFUNCTION("COUNTUNIQUE(D6:H6)"),4)</f>
        <v>4</v>
      </c>
    </row>
    <row r="7" spans="1:9" ht="15.75" customHeight="1">
      <c r="A7" s="24"/>
      <c r="B7" s="11"/>
      <c r="C7" s="15"/>
      <c r="D7" s="25" t="str">
        <f>IFERROR(VLOOKUP(D6,'Invetsor View'!$C$1:$E$26,3,FALSE()),)</f>
        <v>FF-Introspect</v>
      </c>
      <c r="E7" s="25" t="str">
        <f>IFERROR(VLOOKUP(E6,'Invetsor View'!$C$1:$E$26,3,FALSE()),)</f>
        <v>FF-Curate</v>
      </c>
      <c r="F7" s="25" t="str">
        <f>IFERROR(VLOOKUP(F6,'Invetsor View'!$C$1:$E$26,3,FALSE()),)</f>
        <v>FF-Balance</v>
      </c>
      <c r="G7" s="25" t="str">
        <f>IFERROR(VLOOKUP(G6,'Invetsor View'!$C$1:$E$26,3,FALSE()),)</f>
        <v>GF-Clout</v>
      </c>
      <c r="H7" s="25">
        <f>IFERROR(VLOOKUP(H6,'Invetsor View'!$C$1:$E$26,3,FALSE()),)</f>
        <v>0</v>
      </c>
      <c r="I7" s="16"/>
    </row>
    <row r="8" spans="1:9" ht="15.75" customHeight="1">
      <c r="A8" s="24" t="s">
        <v>19</v>
      </c>
      <c r="B8" s="11" t="s">
        <v>108</v>
      </c>
      <c r="C8" s="15" t="s">
        <v>46</v>
      </c>
      <c r="D8" s="15" t="s">
        <v>43</v>
      </c>
      <c r="E8" s="15"/>
      <c r="F8" s="15" t="s">
        <v>32</v>
      </c>
      <c r="G8" s="15"/>
      <c r="H8" s="15" t="s">
        <v>27</v>
      </c>
      <c r="I8" s="16">
        <f ca="1">IFERROR(__xludf.DUMMYFUNCTION("COUNTUNIQUE(D8:H8)"),3)</f>
        <v>3</v>
      </c>
    </row>
    <row r="9" spans="1:9" ht="15.75" customHeight="1">
      <c r="A9" s="24"/>
      <c r="B9" s="11"/>
      <c r="C9" s="15"/>
      <c r="D9" s="25" t="str">
        <f>IFERROR(VLOOKUP(D8,'Invetsor View'!$C$1:$E$26,3,FALSE()),)</f>
        <v>FF-Ponder</v>
      </c>
      <c r="E9" s="25">
        <f>IFERROR(VLOOKUP(E8,'Invetsor View'!$C$1:$E$26,3,FALSE()),)</f>
        <v>0</v>
      </c>
      <c r="F9" s="25" t="str">
        <f>IFERROR(VLOOKUP(F8,'Invetsor View'!$C$1:$E$26,3,FALSE()),)</f>
        <v>GF-Library</v>
      </c>
      <c r="G9" s="25">
        <f>IFERROR(VLOOKUP(G8,'Invetsor View'!$C$1:$E$26,3,FALSE()),)</f>
        <v>0</v>
      </c>
      <c r="H9" s="25" t="str">
        <f>IFERROR(VLOOKUP(H8,'Invetsor View'!$C$1:$E$26,3,FALSE()),)</f>
        <v>FF-Aspire</v>
      </c>
      <c r="I9" s="16"/>
    </row>
    <row r="10" spans="1:9" ht="15.75" customHeight="1">
      <c r="A10" s="24" t="s">
        <v>19</v>
      </c>
      <c r="B10" s="11" t="s">
        <v>107</v>
      </c>
      <c r="C10" s="15" t="s">
        <v>74</v>
      </c>
      <c r="D10" s="15"/>
      <c r="E10" s="15" t="s">
        <v>27</v>
      </c>
      <c r="F10" s="15" t="s">
        <v>52</v>
      </c>
      <c r="G10" s="15"/>
      <c r="H10" s="15"/>
      <c r="I10" s="16">
        <f ca="1">IFERROR(__xludf.DUMMYFUNCTION("COUNTUNIQUE(D10:H10)"),2)</f>
        <v>2</v>
      </c>
    </row>
    <row r="11" spans="1:9" ht="15.75" customHeight="1">
      <c r="A11" s="24"/>
      <c r="B11" s="11"/>
      <c r="C11" s="15"/>
      <c r="D11" s="25">
        <f>IFERROR(VLOOKUP(D10,'Invetsor View'!$C$1:$E$26,3,FALSE()),)</f>
        <v>0</v>
      </c>
      <c r="E11" s="25" t="str">
        <f>IFERROR(VLOOKUP(E10,'Invetsor View'!$C$1:$E$26,3,FALSE()),)</f>
        <v>FF-Aspire</v>
      </c>
      <c r="F11" s="25" t="str">
        <f>IFERROR(VLOOKUP(F10,'Invetsor View'!$C$1:$E$26,3,FALSE()),)</f>
        <v>FF-Library</v>
      </c>
      <c r="G11" s="25">
        <f>IFERROR(VLOOKUP(G10,'Invetsor View'!$C$1:$E$26,3,FALSE()),)</f>
        <v>0</v>
      </c>
      <c r="H11" s="25">
        <f>IFERROR(VLOOKUP(H10,'Invetsor View'!$C$1:$E$26,3,FALSE()),)</f>
        <v>0</v>
      </c>
      <c r="I11" s="16"/>
    </row>
    <row r="12" spans="1:9" ht="15.75" customHeight="1">
      <c r="A12" s="24" t="s">
        <v>19</v>
      </c>
      <c r="B12" s="11" t="s">
        <v>109</v>
      </c>
      <c r="C12" s="15" t="s">
        <v>51</v>
      </c>
      <c r="D12" s="15" t="s">
        <v>48</v>
      </c>
      <c r="E12" s="15" t="s">
        <v>43</v>
      </c>
      <c r="F12" s="26"/>
      <c r="G12" s="26"/>
      <c r="H12" s="26"/>
      <c r="I12" s="16">
        <f ca="1">IFERROR(__xludf.DUMMYFUNCTION("COUNTUNIQUE(D12:H12)"),2)</f>
        <v>2</v>
      </c>
    </row>
    <row r="13" spans="1:9" ht="15.75" customHeight="1">
      <c r="A13" s="24"/>
      <c r="B13" s="11"/>
      <c r="C13" s="15"/>
      <c r="D13" s="25" t="str">
        <f>IFERROR(VLOOKUP(D12,'Invetsor View'!$C$1:$E$26,3,FALSE()),)</f>
        <v>GF-Library</v>
      </c>
      <c r="E13" s="25" t="str">
        <f>IFERROR(VLOOKUP(E12,'Invetsor View'!$C$1:$E$26,3,FALSE()),)</f>
        <v>FF-Ponder</v>
      </c>
      <c r="F13" s="25">
        <f>IFERROR(VLOOKUP(F12,'Invetsor View'!$C$1:$E$26,3,FALSE()),)</f>
        <v>0</v>
      </c>
      <c r="G13" s="25">
        <f>IFERROR(VLOOKUP(G12,'Invetsor View'!$C$1:$E$26,3,FALSE()),)</f>
        <v>0</v>
      </c>
      <c r="H13" s="25">
        <f>IFERROR(VLOOKUP(H12,'Invetsor View'!$C$1:$E$26,3,FALSE()),)</f>
        <v>0</v>
      </c>
      <c r="I13" s="16"/>
    </row>
    <row r="14" spans="1:9" ht="15.75" customHeight="1">
      <c r="A14" s="24" t="s">
        <v>19</v>
      </c>
      <c r="B14" s="11" t="s">
        <v>98</v>
      </c>
      <c r="C14" s="15" t="s">
        <v>24</v>
      </c>
      <c r="D14" s="15" t="s">
        <v>21</v>
      </c>
      <c r="E14" s="15" t="s">
        <v>62</v>
      </c>
      <c r="F14" s="15" t="s">
        <v>43</v>
      </c>
      <c r="G14" s="15"/>
      <c r="H14" s="15"/>
      <c r="I14" s="16">
        <f ca="1">IFERROR(__xludf.DUMMYFUNCTION("COUNTUNIQUE(D14:H14)"),3)</f>
        <v>3</v>
      </c>
    </row>
    <row r="15" spans="1:9" ht="15.75" customHeight="1">
      <c r="A15" s="24"/>
      <c r="B15" s="11"/>
      <c r="C15" s="15"/>
      <c r="D15" s="25" t="str">
        <f>IFERROR(VLOOKUP(D14,'Invetsor View'!$C$1:$E$26,3,FALSE()),)</f>
        <v>GF-Navigate</v>
      </c>
      <c r="E15" s="25" t="str">
        <f>IFERROR(VLOOKUP(E14,'Invetsor View'!$C$1:$E$26,3,FALSE()),)</f>
        <v>GF-LAZE</v>
      </c>
      <c r="F15" s="25" t="str">
        <f>IFERROR(VLOOKUP(F14,'Invetsor View'!$C$1:$E$26,3,FALSE()),)</f>
        <v>FF-Ponder</v>
      </c>
      <c r="G15" s="25">
        <f>IFERROR(VLOOKUP(G14,'Invetsor View'!$C$1:$E$26,3,FALSE()),)</f>
        <v>0</v>
      </c>
      <c r="H15" s="25">
        <f>IFERROR(VLOOKUP(H14,'Invetsor View'!$C$1:$E$26,3,FALSE()),)</f>
        <v>0</v>
      </c>
      <c r="I15" s="16"/>
    </row>
    <row r="16" spans="1:9" ht="15.75" customHeight="1">
      <c r="A16" s="27" t="s">
        <v>37</v>
      </c>
      <c r="B16" s="11" t="s">
        <v>99</v>
      </c>
      <c r="C16" s="15" t="s">
        <v>41</v>
      </c>
      <c r="D16" s="15" t="s">
        <v>38</v>
      </c>
      <c r="E16" s="15" t="s">
        <v>86</v>
      </c>
      <c r="F16" s="15" t="s">
        <v>27</v>
      </c>
      <c r="G16" s="15" t="s">
        <v>21</v>
      </c>
      <c r="H16" s="15" t="s">
        <v>52</v>
      </c>
      <c r="I16" s="16">
        <f ca="1">IFERROR(__xludf.DUMMYFUNCTION("COUNTUNIQUE(D16:H16)"),5)</f>
        <v>5</v>
      </c>
    </row>
    <row r="17" spans="1:9" ht="15.75" customHeight="1">
      <c r="A17" s="27"/>
      <c r="B17" s="11"/>
      <c r="C17" s="15"/>
      <c r="D17" s="25" t="str">
        <f>IFERROR(VLOOKUP(D16,'Invetsor View'!$C$1:$E$26,3,FALSE()),)</f>
        <v>GF-Clout</v>
      </c>
      <c r="E17" s="25">
        <f>IFERROR(VLOOKUP(E16,'Invetsor View'!$C$1:$E$26,3,FALSE()),)</f>
        <v>0</v>
      </c>
      <c r="F17" s="25" t="str">
        <f>IFERROR(VLOOKUP(F16,'Invetsor View'!$C$1:$E$26,3,FALSE()),)</f>
        <v>FF-Aspire</v>
      </c>
      <c r="G17" s="25" t="str">
        <f>IFERROR(VLOOKUP(G16,'Invetsor View'!$C$1:$E$26,3,FALSE()),)</f>
        <v>GF-Navigate</v>
      </c>
      <c r="H17" s="25" t="str">
        <f>IFERROR(VLOOKUP(H16,'Invetsor View'!$C$1:$E$26,3,FALSE()),)</f>
        <v>FF-Library</v>
      </c>
      <c r="I17" s="16"/>
    </row>
    <row r="18" spans="1:9" ht="15.75" customHeight="1">
      <c r="A18" s="27" t="s">
        <v>37</v>
      </c>
      <c r="B18" s="11" t="s">
        <v>95</v>
      </c>
      <c r="C18" s="15" t="s">
        <v>81</v>
      </c>
      <c r="D18" s="15"/>
      <c r="E18" s="15"/>
      <c r="F18" s="15" t="s">
        <v>67</v>
      </c>
      <c r="G18" s="15" t="s">
        <v>27</v>
      </c>
      <c r="H18" s="15" t="s">
        <v>38</v>
      </c>
      <c r="I18" s="16">
        <f ca="1">IFERROR(__xludf.DUMMYFUNCTION("COUNTUNIQUE(D18:H18)"),3)</f>
        <v>3</v>
      </c>
    </row>
    <row r="19" spans="1:9" ht="15.75" customHeight="1">
      <c r="A19" s="27"/>
      <c r="B19" s="11"/>
      <c r="C19" s="15"/>
      <c r="D19" s="25">
        <f>IFERROR(VLOOKUP(D18,'Invetsor View'!$C$1:$E$26,3,FALSE()),)</f>
        <v>0</v>
      </c>
      <c r="E19" s="25">
        <f>IFERROR(VLOOKUP(E18,'Invetsor View'!$C$1:$E$26,3,FALSE()),)</f>
        <v>0</v>
      </c>
      <c r="F19" s="25" t="str">
        <f>IFERROR(VLOOKUP(F18,'Invetsor View'!$C$1:$E$26,3,FALSE()),)</f>
        <v>FF-Curate</v>
      </c>
      <c r="G19" s="25" t="str">
        <f>IFERROR(VLOOKUP(G18,'Invetsor View'!$C$1:$E$26,3,FALSE()),)</f>
        <v>FF-Aspire</v>
      </c>
      <c r="H19" s="25" t="str">
        <f>IFERROR(VLOOKUP(H18,'Invetsor View'!$C$1:$E$26,3,FALSE()),)</f>
        <v>GF-Clout</v>
      </c>
      <c r="I19" s="16"/>
    </row>
    <row r="20" spans="1:9" ht="15.75" customHeight="1">
      <c r="A20" s="27" t="s">
        <v>37</v>
      </c>
      <c r="B20" s="11" t="s">
        <v>110</v>
      </c>
      <c r="C20" s="15" t="s">
        <v>35</v>
      </c>
      <c r="D20" s="15" t="s">
        <v>32</v>
      </c>
      <c r="E20" s="15"/>
      <c r="F20" s="15"/>
      <c r="G20" s="15" t="s">
        <v>43</v>
      </c>
      <c r="H20" s="15"/>
      <c r="I20" s="16">
        <f ca="1">IFERROR(__xludf.DUMMYFUNCTION("COUNTUNIQUE(D20:H20)"),2)</f>
        <v>2</v>
      </c>
    </row>
    <row r="21" spans="1:9" ht="15.75" customHeight="1">
      <c r="A21" s="27"/>
      <c r="B21" s="11"/>
      <c r="C21" s="15"/>
      <c r="D21" s="25" t="str">
        <f>IFERROR(VLOOKUP(D20,'Invetsor View'!$C$1:$E$26,3,FALSE()),)</f>
        <v>GF-Library</v>
      </c>
      <c r="E21" s="25">
        <f>IFERROR(VLOOKUP(E20,'Invetsor View'!$C$1:$E$26,3,FALSE()),)</f>
        <v>0</v>
      </c>
      <c r="F21" s="25">
        <f>IFERROR(VLOOKUP(F20,'Invetsor View'!$C$1:$E$26,3,FALSE()),)</f>
        <v>0</v>
      </c>
      <c r="G21" s="25" t="str">
        <f>IFERROR(VLOOKUP(G20,'Invetsor View'!$C$1:$E$26,3,FALSE()),)</f>
        <v>FF-Ponder</v>
      </c>
      <c r="H21" s="25">
        <f>IFERROR(VLOOKUP(H20,'Invetsor View'!$C$1:$E$26,3,FALSE()),)</f>
        <v>0</v>
      </c>
      <c r="I21" s="16"/>
    </row>
    <row r="22" spans="1:9" ht="15.75" customHeight="1">
      <c r="A22" s="27" t="s">
        <v>37</v>
      </c>
      <c r="B22" s="11" t="s">
        <v>96</v>
      </c>
      <c r="C22" s="15" t="s">
        <v>65</v>
      </c>
      <c r="D22" s="15"/>
      <c r="E22" s="15"/>
      <c r="F22" s="15" t="s">
        <v>62</v>
      </c>
      <c r="G22" s="15" t="s">
        <v>67</v>
      </c>
      <c r="H22" s="15" t="s">
        <v>43</v>
      </c>
      <c r="I22" s="16">
        <f ca="1">IFERROR(__xludf.DUMMYFUNCTION("COUNTUNIQUE(D22:H22)"),3)</f>
        <v>3</v>
      </c>
    </row>
    <row r="23" spans="1:9" ht="15.75" customHeight="1">
      <c r="A23" s="27"/>
      <c r="B23" s="11"/>
      <c r="C23" s="15"/>
      <c r="D23" s="25">
        <f>IFERROR(VLOOKUP(D22,'Invetsor View'!$C$1:$E$26,3,FALSE()),)</f>
        <v>0</v>
      </c>
      <c r="E23" s="25">
        <f>IFERROR(VLOOKUP(E22,'Invetsor View'!$C$1:$E$26,3,FALSE()),)</f>
        <v>0</v>
      </c>
      <c r="F23" s="25" t="str">
        <f>IFERROR(VLOOKUP(F22,'Invetsor View'!$C$1:$E$26,3,FALSE()),)</f>
        <v>GF-LAZE</v>
      </c>
      <c r="G23" s="25" t="str">
        <f>IFERROR(VLOOKUP(G22,'Invetsor View'!$C$1:$E$26,3,FALSE()),)</f>
        <v>FF-Curate</v>
      </c>
      <c r="H23" s="25" t="str">
        <f>IFERROR(VLOOKUP(H22,'Invetsor View'!$C$1:$E$26,3,FALSE()),)</f>
        <v>FF-Ponder</v>
      </c>
      <c r="I23" s="16"/>
    </row>
    <row r="24" spans="1:9" ht="15.75" customHeight="1">
      <c r="A24" s="27" t="s">
        <v>37</v>
      </c>
      <c r="B24" s="11" t="s">
        <v>113</v>
      </c>
      <c r="C24" s="15" t="s">
        <v>55</v>
      </c>
      <c r="D24" s="15" t="s">
        <v>52</v>
      </c>
      <c r="E24" s="15"/>
      <c r="F24" s="15"/>
      <c r="G24" s="15" t="s">
        <v>32</v>
      </c>
      <c r="H24" s="15"/>
      <c r="I24" s="16">
        <f ca="1">IFERROR(__xludf.DUMMYFUNCTION("COUNTUNIQUE(D24:H24)"),2)</f>
        <v>2</v>
      </c>
    </row>
    <row r="25" spans="1:9" ht="15.75" customHeight="1">
      <c r="A25" s="27"/>
      <c r="B25" s="11"/>
      <c r="C25" s="15"/>
      <c r="D25" s="25" t="str">
        <f>IFERROR(VLOOKUP(D24,'Invetsor View'!$C$1:$E$26,3,FALSE()),)</f>
        <v>FF-Library</v>
      </c>
      <c r="E25" s="25">
        <f>IFERROR(VLOOKUP(E24,'Invetsor View'!$C$1:$E$26,3,FALSE()),)</f>
        <v>0</v>
      </c>
      <c r="F25" s="25">
        <f>IFERROR(VLOOKUP(F24,'Invetsor View'!$C$1:$E$26,3,FALSE()),)</f>
        <v>0</v>
      </c>
      <c r="G25" s="25" t="str">
        <f>IFERROR(VLOOKUP(G24,'Invetsor View'!$C$1:$E$26,3,FALSE()),)</f>
        <v>GF-Library</v>
      </c>
      <c r="H25" s="25">
        <f>IFERROR(VLOOKUP(H24,'Invetsor View'!$C$1:$E$26,3,FALSE()),)</f>
        <v>0</v>
      </c>
      <c r="I25" s="16"/>
    </row>
    <row r="26" spans="1:9" ht="15.75" customHeight="1">
      <c r="A26" s="27" t="s">
        <v>37</v>
      </c>
      <c r="B26" s="11" t="s">
        <v>116</v>
      </c>
      <c r="C26" s="15" t="s">
        <v>60</v>
      </c>
      <c r="D26" s="15" t="s">
        <v>57</v>
      </c>
      <c r="E26" s="15"/>
      <c r="F26" s="15"/>
      <c r="G26" s="15"/>
      <c r="H26" s="15"/>
      <c r="I26" s="16">
        <f ca="1">IFERROR(__xludf.DUMMYFUNCTION("COUNTUNIQUE(D26:H26)"),1)</f>
        <v>1</v>
      </c>
    </row>
    <row r="27" spans="1:9" ht="15.75" customHeight="1">
      <c r="A27" s="27"/>
      <c r="B27" s="11"/>
      <c r="C27" s="15"/>
      <c r="D27" s="25" t="str">
        <f>IFERROR(VLOOKUP(D26,'Invetsor View'!$C$1:$E$26,3,FALSE()),)</f>
        <v>FF-Buzz</v>
      </c>
      <c r="E27" s="25">
        <f>IFERROR(VLOOKUP(E26,'Invetsor View'!$C$1:$E$26,3,FALSE()),)</f>
        <v>0</v>
      </c>
      <c r="F27" s="25">
        <f>IFERROR(VLOOKUP(F26,'Invetsor View'!$C$1:$E$26,3,FALSE()),)</f>
        <v>0</v>
      </c>
      <c r="G27" s="25">
        <f>IFERROR(VLOOKUP(G26,'Invetsor View'!$C$1:$E$26,3,FALSE()),)</f>
        <v>0</v>
      </c>
      <c r="H27" s="25">
        <f>IFERROR(VLOOKUP(H26,'Invetsor View'!$C$1:$E$26,3,FALSE()),)</f>
        <v>0</v>
      </c>
      <c r="I27" s="16"/>
    </row>
    <row r="28" spans="1:9" ht="15.75" customHeight="1">
      <c r="A28" s="27" t="s">
        <v>37</v>
      </c>
      <c r="B28" s="11" t="s">
        <v>112</v>
      </c>
      <c r="C28" s="15" t="s">
        <v>76</v>
      </c>
      <c r="D28" s="15"/>
      <c r="E28" s="15" t="s">
        <v>32</v>
      </c>
      <c r="F28" s="15"/>
      <c r="G28" s="15"/>
      <c r="H28" s="15"/>
      <c r="I28" s="16">
        <f ca="1">IFERROR(__xludf.DUMMYFUNCTION("COUNTUNIQUE(D28:H28)"),1)</f>
        <v>1</v>
      </c>
    </row>
    <row r="29" spans="1:9" ht="15.75" customHeight="1">
      <c r="A29" s="27"/>
      <c r="B29" s="11"/>
      <c r="C29" s="15"/>
      <c r="D29" s="25">
        <f>IFERROR(VLOOKUP(D28,'Invetsor View'!$C$1:$E$26,3,FALSE()),)</f>
        <v>0</v>
      </c>
      <c r="E29" s="25" t="str">
        <f>IFERROR(VLOOKUP(E28,'Invetsor View'!$C$1:$E$26,3,FALSE()),)</f>
        <v>GF-Library</v>
      </c>
      <c r="F29" s="25">
        <f>IFERROR(VLOOKUP(F28,'Invetsor View'!$C$1:$E$26,3,FALSE()),)</f>
        <v>0</v>
      </c>
      <c r="G29" s="25">
        <f>IFERROR(VLOOKUP(G28,'Invetsor View'!$C$1:$E$26,3,FALSE()),)</f>
        <v>0</v>
      </c>
      <c r="H29" s="25">
        <f>IFERROR(VLOOKUP(H28,'Invetsor View'!$C$1:$E$26,3,FALSE()),)</f>
        <v>0</v>
      </c>
      <c r="I29" s="16"/>
    </row>
    <row r="30" spans="1:9" ht="15.75" customHeight="1">
      <c r="B30" s="19"/>
    </row>
    <row r="31" spans="1:9" ht="15.75" customHeight="1">
      <c r="B31" s="19"/>
    </row>
    <row r="32" spans="1:9" ht="15.75" customHeight="1">
      <c r="B32" s="19"/>
    </row>
    <row r="33" spans="2:2" ht="15.75" customHeight="1">
      <c r="B33" s="19"/>
    </row>
    <row r="34" spans="2:2" ht="15.75" customHeight="1">
      <c r="B34" s="19"/>
    </row>
    <row r="35" spans="2:2" ht="15.75" customHeight="1">
      <c r="B35" s="19"/>
    </row>
    <row r="36" spans="2:2" ht="15.75" customHeight="1">
      <c r="B36" s="19"/>
    </row>
    <row r="37" spans="2:2" ht="15.75" customHeight="1">
      <c r="B37" s="19"/>
    </row>
    <row r="38" spans="2:2" ht="15.75" customHeight="1">
      <c r="B38" s="19"/>
    </row>
    <row r="39" spans="2:2" ht="15.75" customHeight="1">
      <c r="B39" s="19"/>
    </row>
    <row r="40" spans="2:2" ht="15.75" customHeight="1">
      <c r="B40" s="19"/>
    </row>
    <row r="41" spans="2:2" ht="15.75" customHeight="1">
      <c r="B41" s="19"/>
    </row>
    <row r="42" spans="2:2" ht="15.75" customHeight="1">
      <c r="B42" s="19"/>
    </row>
    <row r="43" spans="2:2" ht="15.75" customHeight="1">
      <c r="B43" s="19"/>
    </row>
    <row r="44" spans="2:2" ht="15.75" customHeight="1">
      <c r="B44" s="19"/>
    </row>
    <row r="45" spans="2:2" ht="15.75" customHeight="1">
      <c r="B45" s="19"/>
    </row>
    <row r="46" spans="2:2" ht="15.75" customHeight="1">
      <c r="B46" s="19"/>
    </row>
    <row r="47" spans="2:2" ht="15.75" customHeight="1">
      <c r="B47" s="19"/>
    </row>
    <row r="48" spans="2:2" ht="15.75" customHeight="1">
      <c r="B48" s="19"/>
    </row>
    <row r="49" spans="2:2" ht="15.75" customHeight="1">
      <c r="B49" s="19"/>
    </row>
    <row r="50" spans="2:2" ht="15.75" customHeight="1">
      <c r="B50" s="19"/>
    </row>
    <row r="51" spans="2:2" ht="15.75" customHeight="1">
      <c r="B51" s="19"/>
    </row>
    <row r="52" spans="2:2" ht="15.75" customHeight="1">
      <c r="B52" s="19"/>
    </row>
    <row r="53" spans="2:2" ht="15.75" customHeight="1">
      <c r="B53" s="19"/>
    </row>
    <row r="54" spans="2:2" ht="15.75" customHeight="1">
      <c r="B54" s="19"/>
    </row>
    <row r="55" spans="2:2" ht="15.75" customHeight="1">
      <c r="B55" s="19"/>
    </row>
    <row r="56" spans="2:2" ht="15.75" customHeight="1">
      <c r="B56" s="19"/>
    </row>
    <row r="57" spans="2:2" ht="15.75" customHeight="1">
      <c r="B57" s="19"/>
    </row>
    <row r="58" spans="2:2" ht="15.75" customHeight="1">
      <c r="B58" s="19"/>
    </row>
    <row r="59" spans="2:2" ht="15.75" customHeight="1">
      <c r="B59" s="19"/>
    </row>
    <row r="60" spans="2:2" ht="15.75" customHeight="1">
      <c r="B60" s="19"/>
    </row>
    <row r="61" spans="2:2" ht="15.75" customHeight="1">
      <c r="B61" s="19"/>
    </row>
    <row r="62" spans="2:2" ht="15.75" customHeight="1">
      <c r="B62" s="19"/>
    </row>
    <row r="63" spans="2:2" ht="15.75" customHeight="1">
      <c r="B63" s="19"/>
    </row>
    <row r="64" spans="2:2" ht="15.75" customHeight="1">
      <c r="B64" s="19"/>
    </row>
    <row r="65" spans="2:2" ht="15.75" customHeight="1">
      <c r="B65" s="19"/>
    </row>
    <row r="66" spans="2:2" ht="15.75" customHeight="1">
      <c r="B66" s="19"/>
    </row>
    <row r="67" spans="2:2" ht="15.75" customHeight="1">
      <c r="B67" s="19"/>
    </row>
    <row r="68" spans="2:2" ht="15.75" customHeight="1">
      <c r="B68" s="19"/>
    </row>
    <row r="69" spans="2:2" ht="15.75" customHeight="1">
      <c r="B69" s="19"/>
    </row>
    <row r="70" spans="2:2" ht="15.75" customHeight="1">
      <c r="B70" s="19"/>
    </row>
    <row r="71" spans="2:2" ht="15.75" customHeight="1">
      <c r="B71" s="19"/>
    </row>
    <row r="72" spans="2:2" ht="15.75" customHeight="1">
      <c r="B72" s="19"/>
    </row>
    <row r="73" spans="2:2" ht="15.75" customHeight="1">
      <c r="B73" s="19"/>
    </row>
    <row r="74" spans="2:2" ht="15.75" customHeight="1">
      <c r="B74" s="19"/>
    </row>
    <row r="75" spans="2:2" ht="15.75" customHeight="1">
      <c r="B75" s="19"/>
    </row>
    <row r="76" spans="2:2" ht="15.75" customHeight="1">
      <c r="B76" s="19"/>
    </row>
    <row r="77" spans="2:2" ht="15.75" customHeight="1">
      <c r="B77" s="19"/>
    </row>
    <row r="78" spans="2:2" ht="15.75" customHeight="1">
      <c r="B78" s="19"/>
    </row>
    <row r="79" spans="2:2" ht="15.75" customHeight="1">
      <c r="B79" s="19"/>
    </row>
    <row r="80" spans="2:2" ht="15.75" customHeight="1">
      <c r="B80" s="19"/>
    </row>
    <row r="81" spans="2:2" ht="15.75" customHeight="1">
      <c r="B81" s="19"/>
    </row>
    <row r="82" spans="2:2" ht="15.75" customHeight="1">
      <c r="B82" s="19"/>
    </row>
    <row r="83" spans="2:2" ht="15.75" customHeight="1">
      <c r="B83" s="19"/>
    </row>
    <row r="84" spans="2:2" ht="15.75" customHeight="1">
      <c r="B84" s="19"/>
    </row>
    <row r="85" spans="2:2" ht="15.75" customHeight="1">
      <c r="B85" s="19"/>
    </row>
    <row r="86" spans="2:2" ht="15.75" customHeight="1">
      <c r="B86" s="19"/>
    </row>
    <row r="87" spans="2:2" ht="15.75" customHeight="1">
      <c r="B87" s="19"/>
    </row>
    <row r="88" spans="2:2" ht="15.75" customHeight="1">
      <c r="B88" s="19"/>
    </row>
    <row r="89" spans="2:2" ht="15.75" customHeight="1">
      <c r="B89" s="19"/>
    </row>
    <row r="90" spans="2:2" ht="15.75" customHeight="1">
      <c r="B90" s="19"/>
    </row>
    <row r="91" spans="2:2" ht="15.75" customHeight="1">
      <c r="B91" s="19"/>
    </row>
    <row r="92" spans="2:2" ht="15.75" customHeight="1">
      <c r="B92" s="19"/>
    </row>
    <row r="93" spans="2:2" ht="15.75" customHeight="1">
      <c r="B93" s="19"/>
    </row>
    <row r="94" spans="2:2" ht="15.75" customHeight="1">
      <c r="B94" s="19"/>
    </row>
    <row r="95" spans="2:2" ht="15.75" customHeight="1">
      <c r="B95" s="19"/>
    </row>
    <row r="96" spans="2:2" ht="15.75" customHeight="1">
      <c r="B96" s="19"/>
    </row>
    <row r="97" spans="2:2" ht="15.75" customHeight="1">
      <c r="B97" s="19"/>
    </row>
    <row r="98" spans="2:2" ht="15.75" customHeight="1">
      <c r="B98" s="19"/>
    </row>
    <row r="99" spans="2:2" ht="15.75" customHeight="1">
      <c r="B99" s="19"/>
    </row>
    <row r="100" spans="2:2" ht="15.75" customHeight="1">
      <c r="B100" s="19"/>
    </row>
    <row r="101" spans="2:2" ht="15.75" customHeight="1">
      <c r="B101" s="19"/>
    </row>
    <row r="102" spans="2:2" ht="15.75" customHeight="1">
      <c r="B102" s="19"/>
    </row>
    <row r="103" spans="2:2" ht="15.75" customHeight="1">
      <c r="B103" s="19"/>
    </row>
    <row r="104" spans="2:2" ht="15.75" customHeight="1">
      <c r="B104" s="19"/>
    </row>
    <row r="105" spans="2:2" ht="15.75" customHeight="1">
      <c r="B105" s="19"/>
    </row>
    <row r="106" spans="2:2" ht="15.75" customHeight="1">
      <c r="B106" s="19"/>
    </row>
    <row r="107" spans="2:2" ht="15.75" customHeight="1">
      <c r="B107" s="19"/>
    </row>
    <row r="108" spans="2:2" ht="15.75" customHeight="1">
      <c r="B108" s="19"/>
    </row>
    <row r="109" spans="2:2" ht="15.75" customHeight="1">
      <c r="B109" s="19"/>
    </row>
    <row r="110" spans="2:2" ht="15.75" customHeight="1">
      <c r="B110" s="19"/>
    </row>
    <row r="111" spans="2:2" ht="15.75" customHeight="1">
      <c r="B111" s="19"/>
    </row>
    <row r="112" spans="2:2" ht="15.75" customHeight="1">
      <c r="B112" s="19"/>
    </row>
    <row r="113" spans="2:2" ht="15.75" customHeight="1">
      <c r="B113" s="19"/>
    </row>
    <row r="114" spans="2:2" ht="15.75" customHeight="1">
      <c r="B114" s="19"/>
    </row>
    <row r="115" spans="2:2" ht="15.75" customHeight="1">
      <c r="B115" s="19"/>
    </row>
    <row r="116" spans="2:2" ht="15.75" customHeight="1">
      <c r="B116" s="19"/>
    </row>
    <row r="117" spans="2:2" ht="15.75" customHeight="1">
      <c r="B117" s="19"/>
    </row>
    <row r="118" spans="2:2" ht="15.75" customHeight="1">
      <c r="B118" s="19"/>
    </row>
    <row r="119" spans="2:2" ht="15.75" customHeight="1">
      <c r="B119" s="19"/>
    </row>
    <row r="120" spans="2:2" ht="15.75" customHeight="1">
      <c r="B120" s="19"/>
    </row>
    <row r="121" spans="2:2" ht="15.75" customHeight="1">
      <c r="B121" s="19"/>
    </row>
    <row r="122" spans="2:2" ht="15.75" customHeight="1">
      <c r="B122" s="19"/>
    </row>
    <row r="123" spans="2:2" ht="15.75" customHeight="1">
      <c r="B123" s="19"/>
    </row>
    <row r="124" spans="2:2" ht="15.75" customHeight="1">
      <c r="B124" s="19"/>
    </row>
    <row r="125" spans="2:2" ht="15.75" customHeight="1">
      <c r="B125" s="19"/>
    </row>
    <row r="126" spans="2:2" ht="15.75" customHeight="1">
      <c r="B126" s="19"/>
    </row>
    <row r="127" spans="2:2" ht="15.75" customHeight="1">
      <c r="B127" s="19"/>
    </row>
    <row r="128" spans="2:2" ht="15.75" customHeight="1">
      <c r="B128" s="19"/>
    </row>
    <row r="129" spans="2:2" ht="15.75" customHeight="1">
      <c r="B129" s="19"/>
    </row>
    <row r="130" spans="2:2" ht="15.75" customHeight="1">
      <c r="B130" s="19"/>
    </row>
    <row r="131" spans="2:2" ht="15.75" customHeight="1">
      <c r="B131" s="19"/>
    </row>
    <row r="132" spans="2:2" ht="15.75" customHeight="1">
      <c r="B132" s="19"/>
    </row>
    <row r="133" spans="2:2" ht="15.75" customHeight="1">
      <c r="B133" s="19"/>
    </row>
    <row r="134" spans="2:2" ht="15.75" customHeight="1">
      <c r="B134" s="19"/>
    </row>
    <row r="135" spans="2:2" ht="15.75" customHeight="1">
      <c r="B135" s="19"/>
    </row>
    <row r="136" spans="2:2" ht="15.75" customHeight="1">
      <c r="B136" s="19"/>
    </row>
    <row r="137" spans="2:2" ht="15.75" customHeight="1">
      <c r="B137" s="19"/>
    </row>
    <row r="138" spans="2:2" ht="15.75" customHeight="1">
      <c r="B138" s="19"/>
    </row>
    <row r="139" spans="2:2" ht="15.75" customHeight="1">
      <c r="B139" s="19"/>
    </row>
    <row r="140" spans="2:2" ht="15.75" customHeight="1">
      <c r="B140" s="19"/>
    </row>
    <row r="141" spans="2:2" ht="15.75" customHeight="1">
      <c r="B141" s="19"/>
    </row>
    <row r="142" spans="2:2" ht="15.75" customHeight="1">
      <c r="B142" s="19"/>
    </row>
    <row r="143" spans="2:2" ht="15.75" customHeight="1">
      <c r="B143" s="19"/>
    </row>
    <row r="144" spans="2:2" ht="15.75" customHeight="1">
      <c r="B144" s="19"/>
    </row>
    <row r="145" spans="2:2" ht="15.75" customHeight="1">
      <c r="B145" s="19"/>
    </row>
    <row r="146" spans="2:2" ht="15.75" customHeight="1">
      <c r="B146" s="19"/>
    </row>
    <row r="147" spans="2:2" ht="15.75" customHeight="1">
      <c r="B147" s="19"/>
    </row>
    <row r="148" spans="2:2" ht="15.75" customHeight="1">
      <c r="B148" s="19"/>
    </row>
    <row r="149" spans="2:2" ht="15.75" customHeight="1">
      <c r="B149" s="19"/>
    </row>
    <row r="150" spans="2:2" ht="15.75" customHeight="1">
      <c r="B150" s="19"/>
    </row>
    <row r="151" spans="2:2" ht="15.75" customHeight="1">
      <c r="B151" s="19"/>
    </row>
    <row r="152" spans="2:2" ht="15.75" customHeight="1">
      <c r="B152" s="19"/>
    </row>
    <row r="153" spans="2:2" ht="15.75" customHeight="1">
      <c r="B153" s="19"/>
    </row>
    <row r="154" spans="2:2" ht="15.75" customHeight="1">
      <c r="B154" s="19"/>
    </row>
    <row r="155" spans="2:2" ht="15.75" customHeight="1">
      <c r="B155" s="19"/>
    </row>
    <row r="156" spans="2:2" ht="15.75" customHeight="1">
      <c r="B156" s="19"/>
    </row>
    <row r="157" spans="2:2" ht="15.75" customHeight="1">
      <c r="B157" s="19"/>
    </row>
    <row r="158" spans="2:2" ht="15.75" customHeight="1">
      <c r="B158" s="19"/>
    </row>
    <row r="159" spans="2:2" ht="15.75" customHeight="1">
      <c r="B159" s="19"/>
    </row>
    <row r="160" spans="2:2" ht="15.75" customHeight="1">
      <c r="B160" s="19"/>
    </row>
    <row r="161" spans="2:2" ht="15.75" customHeight="1">
      <c r="B161" s="19"/>
    </row>
    <row r="162" spans="2:2" ht="15.75" customHeight="1">
      <c r="B162" s="19"/>
    </row>
    <row r="163" spans="2:2" ht="15.75" customHeight="1">
      <c r="B163" s="19"/>
    </row>
    <row r="164" spans="2:2" ht="15.75" customHeight="1">
      <c r="B164" s="19"/>
    </row>
    <row r="165" spans="2:2" ht="15.75" customHeight="1">
      <c r="B165" s="19"/>
    </row>
    <row r="166" spans="2:2" ht="15.75" customHeight="1">
      <c r="B166" s="19"/>
    </row>
    <row r="167" spans="2:2" ht="15.75" customHeight="1">
      <c r="B167" s="19"/>
    </row>
    <row r="168" spans="2:2" ht="15.75" customHeight="1">
      <c r="B168" s="19"/>
    </row>
    <row r="169" spans="2:2" ht="15.75" customHeight="1">
      <c r="B169" s="19"/>
    </row>
    <row r="170" spans="2:2" ht="15.75" customHeight="1">
      <c r="B170" s="19"/>
    </row>
    <row r="171" spans="2:2" ht="15.75" customHeight="1">
      <c r="B171" s="19"/>
    </row>
    <row r="172" spans="2:2" ht="15.75" customHeight="1">
      <c r="B172" s="19"/>
    </row>
    <row r="173" spans="2:2" ht="15.75" customHeight="1">
      <c r="B173" s="19"/>
    </row>
    <row r="174" spans="2:2" ht="15.75" customHeight="1">
      <c r="B174" s="19"/>
    </row>
    <row r="175" spans="2:2" ht="15.75" customHeight="1">
      <c r="B175" s="19"/>
    </row>
    <row r="176" spans="2:2" ht="15.75" customHeight="1">
      <c r="B176" s="19"/>
    </row>
    <row r="177" spans="2:2" ht="15.75" customHeight="1">
      <c r="B177" s="19"/>
    </row>
    <row r="178" spans="2:2" ht="15.75" customHeight="1">
      <c r="B178" s="19"/>
    </row>
    <row r="179" spans="2:2" ht="15.75" customHeight="1">
      <c r="B179" s="19"/>
    </row>
    <row r="180" spans="2:2" ht="15.75" customHeight="1">
      <c r="B180" s="19"/>
    </row>
    <row r="181" spans="2:2" ht="15.75" customHeight="1">
      <c r="B181" s="19"/>
    </row>
    <row r="182" spans="2:2" ht="15.75" customHeight="1">
      <c r="B182" s="19"/>
    </row>
    <row r="183" spans="2:2" ht="15.75" customHeight="1">
      <c r="B183" s="19"/>
    </row>
    <row r="184" spans="2:2" ht="15.75" customHeight="1">
      <c r="B184" s="19"/>
    </row>
    <row r="185" spans="2:2" ht="15.75" customHeight="1">
      <c r="B185" s="19"/>
    </row>
    <row r="186" spans="2:2" ht="15.75" customHeight="1">
      <c r="B186" s="19"/>
    </row>
    <row r="187" spans="2:2" ht="15.75" customHeight="1">
      <c r="B187" s="19"/>
    </row>
    <row r="188" spans="2:2" ht="15.75" customHeight="1">
      <c r="B188" s="19"/>
    </row>
    <row r="189" spans="2:2" ht="15.75" customHeight="1">
      <c r="B189" s="19"/>
    </row>
    <row r="190" spans="2:2" ht="15.75" customHeight="1">
      <c r="B190" s="19"/>
    </row>
    <row r="191" spans="2:2" ht="15.75" customHeight="1">
      <c r="B191" s="19"/>
    </row>
    <row r="192" spans="2:2" ht="15.75" customHeight="1">
      <c r="B192" s="19"/>
    </row>
    <row r="193" spans="2:2" ht="15.75" customHeight="1">
      <c r="B193" s="19"/>
    </row>
    <row r="194" spans="2:2" ht="15.75" customHeight="1">
      <c r="B194" s="19"/>
    </row>
    <row r="195" spans="2:2" ht="15.75" customHeight="1">
      <c r="B195" s="19"/>
    </row>
    <row r="196" spans="2:2" ht="15.75" customHeight="1">
      <c r="B196" s="19"/>
    </row>
    <row r="197" spans="2:2" ht="15.75" customHeight="1">
      <c r="B197" s="19"/>
    </row>
    <row r="198" spans="2:2" ht="15.75" customHeight="1">
      <c r="B198" s="19"/>
    </row>
    <row r="199" spans="2:2" ht="15.75" customHeight="1">
      <c r="B199" s="19"/>
    </row>
    <row r="200" spans="2:2" ht="15.75" customHeight="1">
      <c r="B200" s="19"/>
    </row>
    <row r="201" spans="2:2" ht="15.75" customHeight="1">
      <c r="B201" s="19"/>
    </row>
    <row r="202" spans="2:2" ht="15.75" customHeight="1">
      <c r="B202" s="19"/>
    </row>
    <row r="203" spans="2:2" ht="15.75" customHeight="1">
      <c r="B203" s="19"/>
    </row>
    <row r="204" spans="2:2" ht="15.75" customHeight="1">
      <c r="B204" s="19"/>
    </row>
    <row r="205" spans="2:2" ht="15.75" customHeight="1">
      <c r="B205" s="19"/>
    </row>
    <row r="206" spans="2:2" ht="15.75" customHeight="1">
      <c r="B206" s="19"/>
    </row>
    <row r="207" spans="2:2" ht="15.75" customHeight="1">
      <c r="B207" s="19"/>
    </row>
    <row r="208" spans="2:2" ht="15.75" customHeight="1">
      <c r="B208" s="19"/>
    </row>
    <row r="209" spans="2:2" ht="15.75" customHeight="1">
      <c r="B209" s="19"/>
    </row>
    <row r="210" spans="2:2" ht="15.75" customHeight="1">
      <c r="B210" s="19"/>
    </row>
    <row r="211" spans="2:2" ht="15.75" customHeight="1">
      <c r="B211" s="19"/>
    </row>
    <row r="212" spans="2:2" ht="15.75" customHeight="1">
      <c r="B212" s="19"/>
    </row>
    <row r="213" spans="2:2" ht="15.75" customHeight="1">
      <c r="B213" s="19"/>
    </row>
    <row r="214" spans="2:2" ht="15.75" customHeight="1">
      <c r="B214" s="19"/>
    </row>
    <row r="215" spans="2:2" ht="15.75" customHeight="1">
      <c r="B215" s="19"/>
    </row>
    <row r="216" spans="2:2" ht="15.75" customHeight="1">
      <c r="B216" s="19"/>
    </row>
    <row r="217" spans="2:2" ht="15.75" customHeight="1">
      <c r="B217" s="19"/>
    </row>
    <row r="218" spans="2:2" ht="15.75" customHeight="1">
      <c r="B218" s="19"/>
    </row>
    <row r="219" spans="2:2" ht="15.75" customHeight="1">
      <c r="B219" s="19"/>
    </row>
    <row r="220" spans="2:2" ht="15.75" customHeight="1">
      <c r="B220" s="19"/>
    </row>
    <row r="221" spans="2:2" ht="15.75" customHeight="1">
      <c r="B221" s="19"/>
    </row>
    <row r="222" spans="2:2" ht="15.75" customHeight="1">
      <c r="B222" s="19"/>
    </row>
    <row r="223" spans="2:2" ht="15.75" customHeight="1">
      <c r="B223" s="19"/>
    </row>
    <row r="224" spans="2:2" ht="15.75" customHeight="1">
      <c r="B224" s="19"/>
    </row>
    <row r="225" spans="2:2" ht="15.75" customHeight="1">
      <c r="B225" s="19"/>
    </row>
    <row r="226" spans="2:2" ht="15.75" customHeight="1">
      <c r="B226" s="19"/>
    </row>
    <row r="227" spans="2:2" ht="15.75" customHeight="1">
      <c r="B227" s="19"/>
    </row>
    <row r="228" spans="2:2" ht="15.75" customHeight="1">
      <c r="B228" s="19"/>
    </row>
    <row r="229" spans="2:2" ht="15.75" customHeight="1">
      <c r="B229" s="19"/>
    </row>
    <row r="230" spans="2:2" ht="15.75" customHeight="1"/>
    <row r="231" spans="2:2" ht="15.75" customHeight="1"/>
    <row r="232" spans="2:2" ht="15.75" customHeight="1"/>
    <row r="233" spans="2:2" ht="15.75" customHeight="1"/>
    <row r="234" spans="2:2" ht="15.75" customHeight="1"/>
    <row r="235" spans="2:2" ht="15.75" customHeight="1"/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workbookViewId="0"/>
  </sheetViews>
  <sheetFormatPr baseColWidth="10" defaultColWidth="12.6640625" defaultRowHeight="15" customHeight="1"/>
  <cols>
    <col min="1" max="1" width="12.6640625" customWidth="1"/>
    <col min="2" max="2" width="14" customWidth="1"/>
    <col min="3" max="3" width="18.83203125" customWidth="1"/>
    <col min="4" max="6" width="12.6640625" customWidth="1"/>
  </cols>
  <sheetData>
    <row r="1" spans="2:11" ht="15.75" customHeight="1"/>
    <row r="2" spans="2:11" ht="15.75" customHeight="1"/>
    <row r="3" spans="2:11" ht="15.75" customHeight="1"/>
    <row r="4" spans="2:11" ht="15.75" customHeight="1"/>
    <row r="5" spans="2:11" ht="15.75" customHeight="1">
      <c r="B5" s="28" t="s">
        <v>19</v>
      </c>
      <c r="C5" s="29" t="s">
        <v>7</v>
      </c>
      <c r="I5" s="30" t="s">
        <v>124</v>
      </c>
      <c r="J5" s="30" t="s">
        <v>125</v>
      </c>
      <c r="K5" s="30" t="s">
        <v>126</v>
      </c>
    </row>
    <row r="6" spans="2:11" ht="15.75" customHeight="1">
      <c r="B6" s="31" t="s">
        <v>37</v>
      </c>
      <c r="C6" s="29" t="s">
        <v>7</v>
      </c>
      <c r="I6" s="29" t="s">
        <v>127</v>
      </c>
      <c r="J6" s="29" t="s">
        <v>128</v>
      </c>
      <c r="K6" s="32">
        <v>6</v>
      </c>
    </row>
    <row r="7" spans="2:11" ht="15.75" customHeight="1">
      <c r="B7" s="29" t="s">
        <v>129</v>
      </c>
      <c r="C7" s="29" t="s">
        <v>130</v>
      </c>
      <c r="I7" s="29" t="s">
        <v>131</v>
      </c>
      <c r="J7" s="29" t="s">
        <v>128</v>
      </c>
      <c r="K7" s="32">
        <v>3</v>
      </c>
    </row>
    <row r="8" spans="2:11" ht="15.75" customHeight="1">
      <c r="B8" s="29"/>
      <c r="C8" s="29"/>
      <c r="I8" s="29" t="s">
        <v>132</v>
      </c>
      <c r="J8" s="29" t="s">
        <v>128</v>
      </c>
      <c r="K8" s="32">
        <v>10</v>
      </c>
    </row>
    <row r="9" spans="2:11" ht="15.75" customHeight="1">
      <c r="B9" s="14" t="s">
        <v>26</v>
      </c>
      <c r="C9" s="29" t="s">
        <v>8</v>
      </c>
      <c r="I9" s="29" t="s">
        <v>133</v>
      </c>
      <c r="J9" s="29" t="s">
        <v>134</v>
      </c>
      <c r="K9" s="32">
        <v>10</v>
      </c>
    </row>
    <row r="10" spans="2:11" ht="15.75" customHeight="1">
      <c r="B10" s="20" t="s">
        <v>20</v>
      </c>
      <c r="C10" s="29" t="s">
        <v>8</v>
      </c>
      <c r="I10" s="29" t="s">
        <v>135</v>
      </c>
      <c r="J10" s="29" t="s">
        <v>134</v>
      </c>
      <c r="K10" s="32">
        <v>4</v>
      </c>
    </row>
    <row r="11" spans="2:11" ht="15.75" customHeight="1">
      <c r="B11" s="29" t="s">
        <v>136</v>
      </c>
      <c r="C11" s="29" t="s">
        <v>137</v>
      </c>
      <c r="I11" s="29" t="s">
        <v>138</v>
      </c>
      <c r="J11" s="29" t="s">
        <v>134</v>
      </c>
      <c r="K11" s="32">
        <v>2</v>
      </c>
    </row>
    <row r="12" spans="2:11" ht="15.75" customHeight="1">
      <c r="B12" s="29"/>
      <c r="C12" s="29"/>
      <c r="I12" s="29" t="s">
        <v>139</v>
      </c>
      <c r="J12" s="29" t="s">
        <v>134</v>
      </c>
      <c r="K12" s="32">
        <v>3</v>
      </c>
    </row>
    <row r="13" spans="2:11" ht="15.75" customHeight="1">
      <c r="B13" s="29" t="s">
        <v>140</v>
      </c>
      <c r="C13" s="29" t="s">
        <v>141</v>
      </c>
      <c r="I13" s="29" t="s">
        <v>142</v>
      </c>
      <c r="J13" s="29" t="s">
        <v>134</v>
      </c>
      <c r="K13" s="32">
        <v>4</v>
      </c>
    </row>
    <row r="14" spans="2:11" ht="15.75" customHeight="1">
      <c r="I14" s="29" t="s">
        <v>143</v>
      </c>
      <c r="J14" s="29" t="s">
        <v>134</v>
      </c>
      <c r="K14" s="32">
        <v>3</v>
      </c>
    </row>
    <row r="15" spans="2:11" ht="15.75" customHeight="1">
      <c r="I15" s="29" t="s">
        <v>144</v>
      </c>
      <c r="J15" s="29" t="s">
        <v>134</v>
      </c>
      <c r="K15" s="32">
        <v>6</v>
      </c>
    </row>
    <row r="16" spans="2:11" ht="15.75" customHeight="1">
      <c r="I16" s="29" t="s">
        <v>145</v>
      </c>
      <c r="J16" s="29" t="s">
        <v>128</v>
      </c>
      <c r="K16" s="32">
        <v>14</v>
      </c>
    </row>
    <row r="17" spans="2:9" ht="15.75" customHeight="1"/>
    <row r="18" spans="2:9" ht="15.75" customHeight="1">
      <c r="B18" s="13" t="s">
        <v>146</v>
      </c>
    </row>
    <row r="19" spans="2:9" ht="15.75" customHeight="1">
      <c r="B19" s="13" t="s">
        <v>147</v>
      </c>
    </row>
    <row r="20" spans="2:9" ht="15.75" customHeight="1">
      <c r="B20" s="13" t="s">
        <v>148</v>
      </c>
    </row>
    <row r="21" spans="2:9" ht="15.75" customHeight="1">
      <c r="B21" s="13" t="s">
        <v>149</v>
      </c>
    </row>
    <row r="22" spans="2:9" ht="15.75" customHeight="1">
      <c r="B22" s="13" t="s">
        <v>150</v>
      </c>
    </row>
    <row r="23" spans="2:9" ht="15.75" customHeight="1"/>
    <row r="24" spans="2:9" ht="15.75" customHeight="1">
      <c r="I24" s="13" t="s">
        <v>151</v>
      </c>
    </row>
    <row r="25" spans="2:9" ht="15.75" customHeight="1">
      <c r="B25" s="13" t="s">
        <v>152</v>
      </c>
      <c r="I25" s="13" t="s">
        <v>153</v>
      </c>
    </row>
    <row r="26" spans="2:9" ht="15.75" customHeight="1">
      <c r="I26" s="13" t="s">
        <v>154</v>
      </c>
    </row>
    <row r="27" spans="2:9" ht="15.75" customHeight="1"/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000"/>
  <sheetViews>
    <sheetView workbookViewId="0"/>
  </sheetViews>
  <sheetFormatPr baseColWidth="10" defaultColWidth="12.6640625" defaultRowHeight="15" customHeight="1"/>
  <cols>
    <col min="1" max="3" width="12.6640625" customWidth="1"/>
    <col min="4" max="4" width="18.83203125" customWidth="1"/>
    <col min="5" max="6" width="12.6640625" customWidth="1"/>
  </cols>
  <sheetData>
    <row r="1" spans="2:4" ht="15.75" customHeight="1">
      <c r="B1" s="33" t="s">
        <v>155</v>
      </c>
      <c r="C1" s="33" t="s">
        <v>156</v>
      </c>
      <c r="D1" s="34" t="s">
        <v>157</v>
      </c>
    </row>
    <row r="2" spans="2:4" ht="15.75" customHeight="1">
      <c r="B2" s="35" t="s">
        <v>29</v>
      </c>
      <c r="C2" s="35" t="s">
        <v>104</v>
      </c>
      <c r="D2" s="36" t="s">
        <v>97</v>
      </c>
    </row>
    <row r="3" spans="2:4" ht="15.75" customHeight="1">
      <c r="B3" s="35" t="s">
        <v>158</v>
      </c>
      <c r="C3" s="35" t="s">
        <v>105</v>
      </c>
      <c r="D3" s="36" t="s">
        <v>97</v>
      </c>
    </row>
    <row r="4" spans="2:4" ht="15.75" customHeight="1">
      <c r="B4" s="35" t="s">
        <v>159</v>
      </c>
      <c r="C4" s="35" t="s">
        <v>94</v>
      </c>
      <c r="D4" s="36" t="s">
        <v>97</v>
      </c>
    </row>
    <row r="5" spans="2:4" ht="15.75" customHeight="1">
      <c r="B5" s="35" t="s">
        <v>40</v>
      </c>
      <c r="C5" s="35" t="s">
        <v>99</v>
      </c>
      <c r="D5" s="36" t="s">
        <v>97</v>
      </c>
    </row>
    <row r="6" spans="2:4" ht="15.75" customHeight="1">
      <c r="B6" s="35" t="s">
        <v>45</v>
      </c>
      <c r="C6" s="35" t="s">
        <v>108</v>
      </c>
      <c r="D6" s="36" t="s">
        <v>97</v>
      </c>
    </row>
    <row r="7" spans="2:4" ht="15.75" customHeight="1">
      <c r="B7" s="35" t="s">
        <v>80</v>
      </c>
      <c r="C7" s="35" t="s">
        <v>95</v>
      </c>
      <c r="D7" s="36" t="s">
        <v>97</v>
      </c>
    </row>
    <row r="8" spans="2:4" ht="15.75" customHeight="1">
      <c r="B8" s="37" t="s">
        <v>160</v>
      </c>
      <c r="C8" s="35" t="s">
        <v>109</v>
      </c>
      <c r="D8" s="36" t="s">
        <v>97</v>
      </c>
    </row>
    <row r="9" spans="2:4" ht="15.75" customHeight="1">
      <c r="B9" s="35" t="s">
        <v>73</v>
      </c>
      <c r="C9" s="35" t="s">
        <v>107</v>
      </c>
      <c r="D9" s="36" t="s">
        <v>97</v>
      </c>
    </row>
    <row r="10" spans="2:4" ht="15.75" customHeight="1">
      <c r="B10" s="35" t="s">
        <v>161</v>
      </c>
      <c r="C10" s="35" t="s">
        <v>98</v>
      </c>
      <c r="D10" s="36" t="s">
        <v>97</v>
      </c>
    </row>
    <row r="11" spans="2:4" ht="15.75" customHeight="1">
      <c r="B11" s="35" t="s">
        <v>34</v>
      </c>
      <c r="C11" s="35" t="s">
        <v>110</v>
      </c>
      <c r="D11" s="36" t="s">
        <v>97</v>
      </c>
    </row>
    <row r="12" spans="2:4" ht="15.75" customHeight="1">
      <c r="B12" s="35" t="s">
        <v>64</v>
      </c>
      <c r="C12" s="35" t="s">
        <v>96</v>
      </c>
      <c r="D12" s="36" t="s">
        <v>97</v>
      </c>
    </row>
    <row r="13" spans="2:4" ht="15.75" customHeight="1">
      <c r="B13" s="35" t="s">
        <v>54</v>
      </c>
      <c r="C13" s="35" t="s">
        <v>113</v>
      </c>
      <c r="D13" s="36" t="s">
        <v>97</v>
      </c>
    </row>
    <row r="14" spans="2:4" ht="15.75" customHeight="1">
      <c r="B14" s="38" t="s">
        <v>59</v>
      </c>
      <c r="C14" s="35" t="s">
        <v>116</v>
      </c>
      <c r="D14" s="36" t="s">
        <v>97</v>
      </c>
    </row>
    <row r="15" spans="2:4" ht="15.75" customHeight="1">
      <c r="B15" s="35" t="s">
        <v>75</v>
      </c>
      <c r="C15" s="35" t="s">
        <v>112</v>
      </c>
      <c r="D15" s="36" t="s">
        <v>97</v>
      </c>
    </row>
    <row r="16" spans="2:4" ht="15.75" customHeight="1">
      <c r="B16" s="39" t="s">
        <v>69</v>
      </c>
      <c r="C16" s="39" t="s">
        <v>162</v>
      </c>
      <c r="D16" s="40" t="s">
        <v>97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B8" r:id="rId1" xr:uid="{00000000-0004-0000-0400-000000000000}"/>
  </hyperlink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27" ht="15.75" customHeight="1">
      <c r="A1" s="41" t="s">
        <v>163</v>
      </c>
      <c r="B1" s="42" t="s">
        <v>89</v>
      </c>
      <c r="C1" s="43" t="s">
        <v>164</v>
      </c>
      <c r="D1" s="43" t="s">
        <v>29</v>
      </c>
      <c r="E1" s="43" t="s">
        <v>165</v>
      </c>
      <c r="F1" s="43" t="s">
        <v>77</v>
      </c>
      <c r="G1" s="43" t="s">
        <v>16</v>
      </c>
      <c r="H1" s="43" t="s">
        <v>40</v>
      </c>
      <c r="I1" s="43" t="s">
        <v>45</v>
      </c>
      <c r="J1" s="43" t="s">
        <v>80</v>
      </c>
      <c r="K1" s="43" t="s">
        <v>166</v>
      </c>
      <c r="L1" s="43" t="s">
        <v>50</v>
      </c>
      <c r="M1" s="43" t="s">
        <v>73</v>
      </c>
      <c r="N1" s="43" t="s">
        <v>23</v>
      </c>
      <c r="O1" s="43" t="s">
        <v>34</v>
      </c>
      <c r="P1" s="43" t="s">
        <v>167</v>
      </c>
      <c r="Q1" s="43" t="s">
        <v>168</v>
      </c>
      <c r="R1" s="43" t="s">
        <v>169</v>
      </c>
      <c r="S1" s="43" t="s">
        <v>170</v>
      </c>
      <c r="T1" s="43" t="s">
        <v>171</v>
      </c>
      <c r="U1" s="43" t="s">
        <v>64</v>
      </c>
      <c r="V1" s="43" t="s">
        <v>172</v>
      </c>
      <c r="W1" s="43" t="s">
        <v>173</v>
      </c>
      <c r="X1" s="43" t="s">
        <v>54</v>
      </c>
      <c r="Y1" s="43" t="s">
        <v>59</v>
      </c>
      <c r="Z1" s="43" t="s">
        <v>174</v>
      </c>
      <c r="AA1" s="44" t="s">
        <v>75</v>
      </c>
    </row>
    <row r="2" spans="1:27" ht="15.75" customHeight="1">
      <c r="A2" s="45" t="s">
        <v>175</v>
      </c>
      <c r="B2" s="45" t="s">
        <v>86</v>
      </c>
      <c r="C2" s="46"/>
      <c r="D2" s="46"/>
      <c r="E2" s="46"/>
      <c r="F2" s="46"/>
      <c r="G2" s="46"/>
      <c r="H2" s="45" t="s">
        <v>176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5" t="s">
        <v>177</v>
      </c>
      <c r="U2" s="46"/>
      <c r="V2" s="46"/>
      <c r="W2" s="46"/>
      <c r="X2" s="46"/>
      <c r="Y2" s="46"/>
      <c r="Z2" s="46"/>
      <c r="AA2" s="47"/>
    </row>
    <row r="3" spans="1:27" ht="15.75" customHeight="1">
      <c r="A3" s="48" t="s">
        <v>178</v>
      </c>
      <c r="B3" s="48" t="s">
        <v>179</v>
      </c>
      <c r="C3" s="48" t="s">
        <v>180</v>
      </c>
      <c r="D3" s="48" t="s">
        <v>180</v>
      </c>
      <c r="E3" s="48" t="s">
        <v>181</v>
      </c>
      <c r="F3" s="48" t="s">
        <v>180</v>
      </c>
      <c r="G3" s="48" t="s">
        <v>180</v>
      </c>
      <c r="H3" s="48" t="s">
        <v>182</v>
      </c>
      <c r="I3" s="48" t="s">
        <v>181</v>
      </c>
      <c r="J3" s="48" t="s">
        <v>182</v>
      </c>
      <c r="K3" s="48" t="s">
        <v>180</v>
      </c>
      <c r="L3" s="48" t="s">
        <v>182</v>
      </c>
      <c r="M3" s="48" t="s">
        <v>180</v>
      </c>
      <c r="N3" s="48" t="s">
        <v>180</v>
      </c>
      <c r="O3" s="48" t="s">
        <v>177</v>
      </c>
      <c r="P3" s="48" t="s">
        <v>180</v>
      </c>
      <c r="Q3" s="48" t="s">
        <v>177</v>
      </c>
      <c r="R3" s="48" t="s">
        <v>180</v>
      </c>
      <c r="S3" s="48" t="s">
        <v>180</v>
      </c>
      <c r="T3" s="48" t="s">
        <v>182</v>
      </c>
      <c r="U3" s="48" t="s">
        <v>180</v>
      </c>
      <c r="V3" s="48" t="s">
        <v>180</v>
      </c>
      <c r="W3" s="48" t="s">
        <v>180</v>
      </c>
      <c r="X3" s="48" t="s">
        <v>181</v>
      </c>
      <c r="Y3" s="48" t="s">
        <v>182</v>
      </c>
      <c r="Z3" s="48" t="s">
        <v>180</v>
      </c>
      <c r="AA3" s="49" t="s">
        <v>177</v>
      </c>
    </row>
    <row r="4" spans="1:27" ht="15.75" customHeight="1">
      <c r="A4" s="45" t="s">
        <v>71</v>
      </c>
      <c r="B4" s="45" t="s">
        <v>67</v>
      </c>
      <c r="C4" s="45" t="s">
        <v>176</v>
      </c>
      <c r="D4" s="46"/>
      <c r="E4" s="46"/>
      <c r="F4" s="46"/>
      <c r="G4" s="48" t="s">
        <v>181</v>
      </c>
      <c r="H4" s="50"/>
      <c r="I4" s="50"/>
      <c r="J4" s="48" t="s">
        <v>181</v>
      </c>
      <c r="K4" s="45" t="s">
        <v>176</v>
      </c>
      <c r="L4" s="45" t="s">
        <v>176</v>
      </c>
      <c r="M4" s="46"/>
      <c r="N4" s="46"/>
      <c r="O4" s="46"/>
      <c r="P4" s="46"/>
      <c r="Q4" s="46"/>
      <c r="R4" s="46"/>
      <c r="S4" s="46"/>
      <c r="T4" s="46"/>
      <c r="U4" s="48" t="s">
        <v>181</v>
      </c>
      <c r="V4" s="46"/>
      <c r="W4" s="46"/>
      <c r="X4" s="46"/>
      <c r="Y4" s="46"/>
      <c r="Z4" s="46"/>
      <c r="AA4" s="47"/>
    </row>
    <row r="5" spans="1:27" ht="15.75" customHeight="1">
      <c r="A5" s="45" t="s">
        <v>49</v>
      </c>
      <c r="B5" s="45" t="s">
        <v>48</v>
      </c>
      <c r="C5" s="45" t="s">
        <v>176</v>
      </c>
      <c r="D5" s="46"/>
      <c r="E5" s="46"/>
      <c r="F5" s="46"/>
      <c r="G5" s="46"/>
      <c r="H5" s="46"/>
      <c r="I5" s="46"/>
      <c r="J5" s="46"/>
      <c r="K5" s="46"/>
      <c r="L5" s="45" t="s">
        <v>176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7"/>
    </row>
    <row r="6" spans="1:27" ht="15.75" customHeight="1">
      <c r="A6" s="48" t="s">
        <v>53</v>
      </c>
      <c r="B6" s="48" t="s">
        <v>52</v>
      </c>
      <c r="C6" s="48" t="s">
        <v>181</v>
      </c>
      <c r="D6" s="48" t="s">
        <v>182</v>
      </c>
      <c r="E6" s="50"/>
      <c r="F6" s="48" t="s">
        <v>181</v>
      </c>
      <c r="G6" s="50"/>
      <c r="H6" s="48" t="s">
        <v>176</v>
      </c>
      <c r="I6" s="50"/>
      <c r="J6" s="50"/>
      <c r="K6" s="50"/>
      <c r="L6" s="48" t="s">
        <v>176</v>
      </c>
      <c r="M6" s="48" t="s">
        <v>181</v>
      </c>
      <c r="N6" s="50"/>
      <c r="O6" s="50"/>
      <c r="P6" s="48" t="s">
        <v>182</v>
      </c>
      <c r="Q6" s="50"/>
      <c r="R6" s="50"/>
      <c r="S6" s="48" t="s">
        <v>182</v>
      </c>
      <c r="T6" s="48" t="s">
        <v>182</v>
      </c>
      <c r="U6" s="50"/>
      <c r="V6" s="50"/>
      <c r="W6" s="50"/>
      <c r="X6" s="48" t="s">
        <v>181</v>
      </c>
      <c r="Y6" s="48" t="s">
        <v>182</v>
      </c>
      <c r="Z6" s="48" t="s">
        <v>177</v>
      </c>
      <c r="AA6" s="51"/>
    </row>
    <row r="7" spans="1:27" ht="15.75" customHeight="1">
      <c r="A7" s="45" t="s">
        <v>28</v>
      </c>
      <c r="B7" s="45" t="s">
        <v>27</v>
      </c>
      <c r="C7" s="45" t="s">
        <v>181</v>
      </c>
      <c r="D7" s="45" t="s">
        <v>176</v>
      </c>
      <c r="E7" s="45" t="s">
        <v>182</v>
      </c>
      <c r="F7" s="45" t="s">
        <v>182</v>
      </c>
      <c r="G7" s="45" t="s">
        <v>180</v>
      </c>
      <c r="H7" s="45" t="s">
        <v>181</v>
      </c>
      <c r="I7" s="45" t="s">
        <v>181</v>
      </c>
      <c r="J7" s="45" t="s">
        <v>181</v>
      </c>
      <c r="K7" s="45" t="s">
        <v>176</v>
      </c>
      <c r="L7" s="45" t="s">
        <v>182</v>
      </c>
      <c r="M7" s="45" t="s">
        <v>176</v>
      </c>
      <c r="N7" s="45" t="s">
        <v>182</v>
      </c>
      <c r="O7" s="45" t="s">
        <v>182</v>
      </c>
      <c r="P7" s="45" t="s">
        <v>177</v>
      </c>
      <c r="Q7" s="45" t="s">
        <v>181</v>
      </c>
      <c r="R7" s="45" t="s">
        <v>177</v>
      </c>
      <c r="S7" s="45" t="s">
        <v>182</v>
      </c>
      <c r="T7" s="45" t="s">
        <v>181</v>
      </c>
      <c r="U7" s="45" t="s">
        <v>182</v>
      </c>
      <c r="V7" s="45" t="s">
        <v>182</v>
      </c>
      <c r="W7" s="45" t="s">
        <v>182</v>
      </c>
      <c r="X7" s="45" t="s">
        <v>182</v>
      </c>
      <c r="Y7" s="46"/>
      <c r="Z7" s="45" t="s">
        <v>177</v>
      </c>
      <c r="AA7" s="52" t="s">
        <v>182</v>
      </c>
    </row>
    <row r="8" spans="1:27" ht="15.75" customHeight="1">
      <c r="A8" s="48" t="s">
        <v>183</v>
      </c>
      <c r="B8" s="48" t="s">
        <v>114</v>
      </c>
      <c r="C8" s="48" t="s">
        <v>182</v>
      </c>
      <c r="D8" s="50"/>
      <c r="E8" s="48" t="s">
        <v>176</v>
      </c>
      <c r="F8" s="50"/>
      <c r="G8" s="50"/>
      <c r="H8" s="48" t="s">
        <v>176</v>
      </c>
      <c r="I8" s="50"/>
      <c r="J8" s="50"/>
      <c r="K8" s="50"/>
      <c r="L8" s="48" t="s">
        <v>182</v>
      </c>
      <c r="M8" s="50"/>
      <c r="N8" s="50"/>
      <c r="O8" s="50"/>
      <c r="P8" s="50"/>
      <c r="Q8" s="48" t="s">
        <v>177</v>
      </c>
      <c r="R8" s="50"/>
      <c r="S8" s="50"/>
      <c r="T8" s="50"/>
      <c r="U8" s="48" t="s">
        <v>177</v>
      </c>
      <c r="V8" s="50"/>
      <c r="W8" s="50"/>
      <c r="X8" s="50"/>
      <c r="Y8" s="50"/>
      <c r="Z8" s="50"/>
      <c r="AA8" s="49" t="s">
        <v>182</v>
      </c>
    </row>
    <row r="9" spans="1:27" ht="15.75" customHeight="1">
      <c r="A9" s="45" t="s">
        <v>83</v>
      </c>
      <c r="B9" s="45" t="s">
        <v>82</v>
      </c>
      <c r="C9" s="45" t="s">
        <v>180</v>
      </c>
      <c r="D9" s="45" t="s">
        <v>176</v>
      </c>
      <c r="E9" s="45" t="s">
        <v>180</v>
      </c>
      <c r="F9" s="45" t="s">
        <v>182</v>
      </c>
      <c r="G9" s="45" t="s">
        <v>176</v>
      </c>
      <c r="H9" s="45" t="s">
        <v>181</v>
      </c>
      <c r="I9" s="45" t="s">
        <v>180</v>
      </c>
      <c r="J9" s="46"/>
      <c r="K9" s="45" t="s">
        <v>181</v>
      </c>
      <c r="L9" s="45" t="s">
        <v>181</v>
      </c>
      <c r="M9" s="45" t="s">
        <v>176</v>
      </c>
      <c r="N9" s="45" t="s">
        <v>182</v>
      </c>
      <c r="O9" s="45" t="s">
        <v>182</v>
      </c>
      <c r="P9" s="45" t="s">
        <v>180</v>
      </c>
      <c r="Q9" s="45" t="s">
        <v>177</v>
      </c>
      <c r="R9" s="45" t="s">
        <v>180</v>
      </c>
      <c r="S9" s="46"/>
      <c r="T9" s="45" t="s">
        <v>177</v>
      </c>
      <c r="U9" s="45" t="s">
        <v>180</v>
      </c>
      <c r="V9" s="45" t="s">
        <v>180</v>
      </c>
      <c r="W9" s="45" t="s">
        <v>181</v>
      </c>
      <c r="X9" s="45" t="s">
        <v>180</v>
      </c>
      <c r="Y9" s="45" t="s">
        <v>180</v>
      </c>
      <c r="Z9" s="45" t="s">
        <v>177</v>
      </c>
      <c r="AA9" s="52" t="s">
        <v>180</v>
      </c>
    </row>
    <row r="10" spans="1:27" ht="15.75" customHeight="1">
      <c r="A10" s="48" t="s">
        <v>39</v>
      </c>
      <c r="B10" s="48" t="s">
        <v>38</v>
      </c>
      <c r="C10" s="48" t="s">
        <v>180</v>
      </c>
      <c r="D10" s="48" t="s">
        <v>181</v>
      </c>
      <c r="E10" s="48" t="s">
        <v>181</v>
      </c>
      <c r="F10" s="48" t="s">
        <v>181</v>
      </c>
      <c r="G10" s="48" t="s">
        <v>181</v>
      </c>
      <c r="H10" s="48" t="s">
        <v>176</v>
      </c>
      <c r="I10" s="48" t="s">
        <v>180</v>
      </c>
      <c r="J10" s="48" t="s">
        <v>181</v>
      </c>
      <c r="K10" s="48" t="s">
        <v>182</v>
      </c>
      <c r="L10" s="48" t="s">
        <v>181</v>
      </c>
      <c r="M10" s="48" t="s">
        <v>180</v>
      </c>
      <c r="N10" s="48" t="s">
        <v>181</v>
      </c>
      <c r="O10" s="48" t="s">
        <v>181</v>
      </c>
      <c r="P10" s="48" t="s">
        <v>184</v>
      </c>
      <c r="Q10" s="48" t="s">
        <v>181</v>
      </c>
      <c r="R10" s="48" t="s">
        <v>180</v>
      </c>
      <c r="S10" s="48" t="s">
        <v>180</v>
      </c>
      <c r="T10" s="48" t="s">
        <v>180</v>
      </c>
      <c r="U10" s="48" t="s">
        <v>181</v>
      </c>
      <c r="V10" s="48" t="s">
        <v>184</v>
      </c>
      <c r="W10" s="48" t="s">
        <v>180</v>
      </c>
      <c r="X10" s="48" t="s">
        <v>180</v>
      </c>
      <c r="Y10" s="48" t="s">
        <v>182</v>
      </c>
      <c r="Z10" s="48" t="s">
        <v>181</v>
      </c>
      <c r="AA10" s="49" t="s">
        <v>180</v>
      </c>
    </row>
    <row r="11" spans="1:27" ht="15.75" customHeight="1">
      <c r="A11" s="45" t="s">
        <v>44</v>
      </c>
      <c r="B11" s="45" t="s">
        <v>43</v>
      </c>
      <c r="C11" s="45" t="s">
        <v>176</v>
      </c>
      <c r="D11" s="46"/>
      <c r="E11" s="45" t="s">
        <v>182</v>
      </c>
      <c r="F11" s="46"/>
      <c r="G11" s="46"/>
      <c r="H11" s="45" t="s">
        <v>182</v>
      </c>
      <c r="I11" s="45" t="s">
        <v>181</v>
      </c>
      <c r="J11" s="46"/>
      <c r="K11" s="45" t="s">
        <v>176</v>
      </c>
      <c r="L11" s="45" t="s">
        <v>176</v>
      </c>
      <c r="M11" s="46"/>
      <c r="N11" s="45" t="s">
        <v>181</v>
      </c>
      <c r="O11" s="45" t="s">
        <v>181</v>
      </c>
      <c r="P11" s="45" t="s">
        <v>177</v>
      </c>
      <c r="Q11" s="45" t="s">
        <v>181</v>
      </c>
      <c r="R11" s="46"/>
      <c r="S11" s="46"/>
      <c r="T11" s="45" t="s">
        <v>182</v>
      </c>
      <c r="U11" s="45" t="s">
        <v>181</v>
      </c>
      <c r="V11" s="45" t="s">
        <v>177</v>
      </c>
      <c r="W11" s="46"/>
      <c r="X11" s="45" t="s">
        <v>182</v>
      </c>
      <c r="Y11" s="46"/>
      <c r="Z11" s="45" t="s">
        <v>177</v>
      </c>
      <c r="AA11" s="47"/>
    </row>
    <row r="12" spans="1:27" ht="15.75" customHeight="1">
      <c r="A12" s="48" t="s">
        <v>185</v>
      </c>
      <c r="B12" s="48" t="s">
        <v>14</v>
      </c>
      <c r="C12" s="48" t="s">
        <v>181</v>
      </c>
      <c r="D12" s="48" t="s">
        <v>176</v>
      </c>
      <c r="E12" s="48" t="s">
        <v>176</v>
      </c>
      <c r="F12" s="50"/>
      <c r="G12" s="48" t="s">
        <v>176</v>
      </c>
      <c r="H12" s="50"/>
      <c r="I12" s="50"/>
      <c r="J12" s="50"/>
      <c r="K12" s="50"/>
      <c r="L12" s="50"/>
      <c r="M12" s="50"/>
      <c r="N12" s="50"/>
      <c r="O12" s="50"/>
      <c r="P12" s="48" t="s">
        <v>177</v>
      </c>
      <c r="Q12" s="50"/>
      <c r="R12" s="50"/>
      <c r="S12" s="50"/>
      <c r="T12" s="50"/>
      <c r="U12" s="50"/>
      <c r="V12" s="50"/>
      <c r="W12" s="50"/>
      <c r="X12" s="50"/>
      <c r="Y12" s="50"/>
      <c r="Z12" s="48" t="s">
        <v>177</v>
      </c>
      <c r="AA12" s="51"/>
    </row>
    <row r="13" spans="1:27" ht="15.75" customHeight="1">
      <c r="A13" s="45" t="s">
        <v>117</v>
      </c>
      <c r="B13" s="45" t="s">
        <v>57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5" t="s">
        <v>177</v>
      </c>
      <c r="R13" s="46"/>
      <c r="S13" s="46"/>
      <c r="T13" s="46"/>
      <c r="U13" s="46"/>
      <c r="V13" s="46"/>
      <c r="W13" s="46"/>
      <c r="X13" s="46"/>
      <c r="Y13" s="45" t="s">
        <v>177</v>
      </c>
      <c r="Z13" s="45" t="s">
        <v>177</v>
      </c>
      <c r="AA13" s="47"/>
    </row>
    <row r="14" spans="1:27" ht="15.75" customHeight="1">
      <c r="A14" s="48" t="s">
        <v>186</v>
      </c>
      <c r="B14" s="48" t="s">
        <v>187</v>
      </c>
      <c r="C14" s="48" t="s">
        <v>181</v>
      </c>
      <c r="D14" s="50"/>
      <c r="E14" s="48" t="s">
        <v>181</v>
      </c>
      <c r="F14" s="50"/>
      <c r="G14" s="48" t="s">
        <v>176</v>
      </c>
      <c r="H14" s="48" t="s">
        <v>181</v>
      </c>
      <c r="I14" s="48" t="s">
        <v>181</v>
      </c>
      <c r="J14" s="48" t="s">
        <v>181</v>
      </c>
      <c r="K14" s="50"/>
      <c r="L14" s="50"/>
      <c r="M14" s="50"/>
      <c r="N14" s="50"/>
      <c r="O14" s="50"/>
      <c r="P14" s="48" t="s">
        <v>181</v>
      </c>
      <c r="Q14" s="48" t="s">
        <v>181</v>
      </c>
      <c r="R14" s="50"/>
      <c r="S14" s="48" t="s">
        <v>181</v>
      </c>
      <c r="T14" s="50"/>
      <c r="U14" s="48" t="s">
        <v>177</v>
      </c>
      <c r="V14" s="48" t="s">
        <v>177</v>
      </c>
      <c r="W14" s="50"/>
      <c r="X14" s="50"/>
      <c r="Y14" s="50"/>
      <c r="Z14" s="48" t="s">
        <v>181</v>
      </c>
      <c r="AA14" s="51"/>
    </row>
    <row r="15" spans="1:27" ht="15.75" customHeight="1">
      <c r="A15" s="45" t="s">
        <v>188</v>
      </c>
      <c r="B15" s="45" t="s">
        <v>21</v>
      </c>
      <c r="C15" s="45" t="s">
        <v>176</v>
      </c>
      <c r="D15" s="46"/>
      <c r="E15" s="46"/>
      <c r="F15" s="46"/>
      <c r="G15" s="46"/>
      <c r="H15" s="45" t="s">
        <v>176</v>
      </c>
      <c r="I15" s="46"/>
      <c r="J15" s="46"/>
      <c r="K15" s="46"/>
      <c r="L15" s="45" t="s">
        <v>176</v>
      </c>
      <c r="M15" s="46"/>
      <c r="N15" s="45" t="s">
        <v>176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7"/>
    </row>
    <row r="16" spans="1:27" ht="15.75" customHeight="1">
      <c r="A16" s="53" t="s">
        <v>121</v>
      </c>
      <c r="B16" s="53" t="s">
        <v>62</v>
      </c>
      <c r="C16" s="53" t="s">
        <v>176</v>
      </c>
      <c r="D16" s="54"/>
      <c r="E16" s="53" t="s">
        <v>181</v>
      </c>
      <c r="F16" s="53" t="s">
        <v>182</v>
      </c>
      <c r="G16" s="54"/>
      <c r="H16" s="53" t="s">
        <v>182</v>
      </c>
      <c r="I16" s="54"/>
      <c r="J16" s="54"/>
      <c r="K16" s="54"/>
      <c r="L16" s="53" t="s">
        <v>182</v>
      </c>
      <c r="M16" s="54"/>
      <c r="N16" s="53" t="s">
        <v>176</v>
      </c>
      <c r="O16" s="54"/>
      <c r="P16" s="53" t="s">
        <v>181</v>
      </c>
      <c r="Q16" s="54"/>
      <c r="R16" s="54"/>
      <c r="S16" s="54"/>
      <c r="T16" s="54"/>
      <c r="U16" s="53" t="s">
        <v>181</v>
      </c>
      <c r="V16" s="53" t="s">
        <v>176</v>
      </c>
      <c r="W16" s="54"/>
      <c r="X16" s="54"/>
      <c r="Y16" s="54"/>
      <c r="Z16" s="54"/>
      <c r="AA16" s="5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baseColWidth="10" defaultColWidth="12.6640625" defaultRowHeight="15" customHeight="1"/>
  <cols>
    <col min="1" max="6" width="12.6640625" customWidth="1"/>
  </cols>
  <sheetData>
    <row r="1" spans="1:5" ht="15.75" customHeight="1">
      <c r="A1" s="56" t="s">
        <v>89</v>
      </c>
      <c r="B1" s="56" t="s">
        <v>189</v>
      </c>
      <c r="C1" s="56" t="s">
        <v>190</v>
      </c>
      <c r="D1" s="56" t="s">
        <v>191</v>
      </c>
      <c r="E1" s="56" t="s">
        <v>192</v>
      </c>
    </row>
    <row r="2" spans="1:5" ht="15.75" customHeight="1">
      <c r="A2" s="29" t="s">
        <v>67</v>
      </c>
      <c r="B2" s="29" t="s">
        <v>193</v>
      </c>
      <c r="C2" s="29" t="s">
        <v>194</v>
      </c>
      <c r="D2" s="29" t="s">
        <v>195</v>
      </c>
      <c r="E2" s="29" t="s">
        <v>195</v>
      </c>
    </row>
    <row r="3" spans="1:5" ht="15.75" customHeight="1">
      <c r="A3" s="29" t="s">
        <v>21</v>
      </c>
      <c r="B3" s="29" t="s">
        <v>196</v>
      </c>
      <c r="C3" s="29" t="s">
        <v>197</v>
      </c>
      <c r="D3" s="29" t="s">
        <v>195</v>
      </c>
      <c r="E3" s="29" t="s">
        <v>195</v>
      </c>
    </row>
    <row r="4" spans="1:5" ht="15.75" customHeight="1">
      <c r="A4" s="29" t="s">
        <v>38</v>
      </c>
      <c r="B4" s="29" t="s">
        <v>198</v>
      </c>
      <c r="C4" s="29" t="s">
        <v>199</v>
      </c>
      <c r="D4" s="29" t="s">
        <v>200</v>
      </c>
      <c r="E4" s="29" t="s">
        <v>201</v>
      </c>
    </row>
    <row r="5" spans="1:5" ht="15.75" customHeight="1">
      <c r="A5" s="29" t="s">
        <v>202</v>
      </c>
      <c r="B5" s="29" t="s">
        <v>203</v>
      </c>
      <c r="C5" s="29" t="s">
        <v>204</v>
      </c>
      <c r="D5" s="29" t="s">
        <v>205</v>
      </c>
      <c r="E5" s="29" t="s">
        <v>206</v>
      </c>
    </row>
    <row r="6" spans="1:5" ht="15.75" customHeight="1">
      <c r="A6" s="29" t="s">
        <v>43</v>
      </c>
      <c r="B6" s="29" t="s">
        <v>207</v>
      </c>
      <c r="C6" s="29" t="s">
        <v>208</v>
      </c>
      <c r="D6" s="29" t="s">
        <v>168</v>
      </c>
      <c r="E6" s="29" t="s">
        <v>209</v>
      </c>
    </row>
    <row r="7" spans="1:5" ht="15.75" customHeight="1">
      <c r="A7" s="29" t="s">
        <v>32</v>
      </c>
      <c r="B7" s="29" t="s">
        <v>210</v>
      </c>
      <c r="C7" s="29" t="s">
        <v>168</v>
      </c>
      <c r="D7" s="29" t="s">
        <v>165</v>
      </c>
      <c r="E7" s="29" t="s">
        <v>211</v>
      </c>
    </row>
    <row r="8" spans="1:5" ht="15.75" customHeight="1">
      <c r="A8" s="29" t="s">
        <v>52</v>
      </c>
      <c r="B8" s="29" t="s">
        <v>212</v>
      </c>
      <c r="C8" s="29" t="s">
        <v>213</v>
      </c>
      <c r="D8" s="29" t="s">
        <v>164</v>
      </c>
      <c r="E8" s="29" t="s">
        <v>214</v>
      </c>
    </row>
    <row r="9" spans="1:5" ht="15.75" customHeight="1">
      <c r="A9" s="29" t="s">
        <v>114</v>
      </c>
      <c r="B9" s="29" t="s">
        <v>215</v>
      </c>
      <c r="C9" s="29" t="s">
        <v>216</v>
      </c>
      <c r="D9" s="29" t="s">
        <v>195</v>
      </c>
      <c r="E9" s="29" t="s">
        <v>217</v>
      </c>
    </row>
    <row r="10" spans="1:5" ht="15.75" customHeight="1">
      <c r="A10" s="29" t="s">
        <v>57</v>
      </c>
      <c r="B10" s="29" t="s">
        <v>59</v>
      </c>
      <c r="C10" s="29" t="s">
        <v>218</v>
      </c>
      <c r="D10" s="29" t="s">
        <v>195</v>
      </c>
      <c r="E10" s="29" t="s">
        <v>195</v>
      </c>
    </row>
    <row r="11" spans="1:5" ht="15.75" customHeight="1">
      <c r="A11" s="29" t="s">
        <v>48</v>
      </c>
      <c r="B11" s="29" t="s">
        <v>219</v>
      </c>
      <c r="C11" s="29" t="s">
        <v>164</v>
      </c>
      <c r="D11" s="29" t="s">
        <v>195</v>
      </c>
      <c r="E11" s="29" t="s">
        <v>195</v>
      </c>
    </row>
    <row r="12" spans="1:5" ht="15.75" customHeight="1">
      <c r="A12" s="29" t="s">
        <v>14</v>
      </c>
      <c r="B12" s="29" t="s">
        <v>220</v>
      </c>
      <c r="C12" s="29" t="s">
        <v>221</v>
      </c>
      <c r="D12" s="29" t="s">
        <v>164</v>
      </c>
      <c r="E12" s="29" t="s">
        <v>195</v>
      </c>
    </row>
    <row r="13" spans="1:5" ht="15.75" customHeight="1">
      <c r="A13" s="29" t="s">
        <v>82</v>
      </c>
      <c r="B13" s="29" t="s">
        <v>220</v>
      </c>
      <c r="C13" s="29" t="s">
        <v>222</v>
      </c>
      <c r="D13" s="29" t="s">
        <v>223</v>
      </c>
      <c r="E13" s="29" t="s">
        <v>224</v>
      </c>
    </row>
    <row r="14" spans="1:5" ht="15.75" customHeight="1">
      <c r="A14" s="29" t="s">
        <v>62</v>
      </c>
      <c r="B14" s="29" t="s">
        <v>225</v>
      </c>
      <c r="C14" s="29" t="s">
        <v>226</v>
      </c>
      <c r="D14" s="29" t="s">
        <v>227</v>
      </c>
      <c r="E14" s="29" t="s">
        <v>228</v>
      </c>
    </row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M1000"/>
  <sheetViews>
    <sheetView workbookViewId="0"/>
  </sheetViews>
  <sheetFormatPr baseColWidth="10" defaultColWidth="12.6640625" defaultRowHeight="15" customHeight="1"/>
  <cols>
    <col min="1" max="1" width="21.6640625" customWidth="1"/>
    <col min="2" max="2" width="23.5" customWidth="1"/>
    <col min="3" max="3" width="31.1640625" customWidth="1"/>
    <col min="4" max="6" width="12.6640625" customWidth="1"/>
    <col min="8" max="8" width="22.1640625" customWidth="1"/>
    <col min="9" max="9" width="30.83203125" customWidth="1"/>
    <col min="10" max="10" width="15.1640625" customWidth="1"/>
    <col min="11" max="11" width="20.1640625" customWidth="1"/>
    <col min="12" max="12" width="21.83203125" customWidth="1"/>
  </cols>
  <sheetData>
    <row r="1" spans="1:13" ht="15.75" customHeight="1">
      <c r="A1" s="56" t="s">
        <v>89</v>
      </c>
      <c r="B1" s="56" t="s">
        <v>155</v>
      </c>
      <c r="C1" s="56" t="s">
        <v>10</v>
      </c>
      <c r="D1" s="13" t="s">
        <v>229</v>
      </c>
    </row>
    <row r="2" spans="1:13" ht="15.75" hidden="1" customHeight="1">
      <c r="A2" s="29" t="s">
        <v>67</v>
      </c>
      <c r="B2" s="29" t="s">
        <v>16</v>
      </c>
      <c r="C2" s="29" t="s">
        <v>230</v>
      </c>
      <c r="H2" s="58" t="s">
        <v>231</v>
      </c>
      <c r="I2" s="58" t="s">
        <v>10</v>
      </c>
      <c r="J2" s="59"/>
      <c r="K2" s="59"/>
      <c r="L2" s="59"/>
      <c r="M2" s="60"/>
    </row>
    <row r="3" spans="1:13" ht="15.75" hidden="1" customHeight="1">
      <c r="A3" s="29" t="s">
        <v>67</v>
      </c>
      <c r="B3" s="29" t="s">
        <v>80</v>
      </c>
      <c r="C3" s="29" t="s">
        <v>230</v>
      </c>
      <c r="H3" s="58" t="s">
        <v>89</v>
      </c>
      <c r="I3" s="61" t="s">
        <v>192</v>
      </c>
      <c r="J3" s="62" t="s">
        <v>230</v>
      </c>
      <c r="K3" s="62" t="s">
        <v>191</v>
      </c>
      <c r="L3" s="62" t="s">
        <v>190</v>
      </c>
      <c r="M3" s="63" t="s">
        <v>232</v>
      </c>
    </row>
    <row r="4" spans="1:13" ht="15.75" hidden="1" customHeight="1">
      <c r="A4" s="29" t="s">
        <v>67</v>
      </c>
      <c r="B4" s="29" t="s">
        <v>64</v>
      </c>
      <c r="C4" s="29" t="s">
        <v>230</v>
      </c>
      <c r="H4" s="61" t="s">
        <v>114</v>
      </c>
      <c r="I4" s="64">
        <v>3</v>
      </c>
      <c r="J4" s="65">
        <v>2</v>
      </c>
      <c r="K4" s="65"/>
      <c r="L4" s="65">
        <v>2</v>
      </c>
      <c r="M4" s="66">
        <v>7</v>
      </c>
    </row>
    <row r="5" spans="1:13" ht="15.75" customHeight="1">
      <c r="A5" s="29" t="s">
        <v>67</v>
      </c>
      <c r="B5" s="29" t="s">
        <v>164</v>
      </c>
      <c r="C5" s="29" t="s">
        <v>190</v>
      </c>
      <c r="H5" s="67" t="s">
        <v>14</v>
      </c>
      <c r="I5" s="68"/>
      <c r="J5" s="69">
        <v>2</v>
      </c>
      <c r="K5" s="69">
        <v>1</v>
      </c>
      <c r="L5" s="69">
        <v>3</v>
      </c>
      <c r="M5" s="70">
        <v>6</v>
      </c>
    </row>
    <row r="6" spans="1:13" ht="15.75" customHeight="1">
      <c r="A6" s="57" t="s">
        <v>67</v>
      </c>
      <c r="B6" s="57" t="s">
        <v>166</v>
      </c>
      <c r="C6" s="57" t="s">
        <v>190</v>
      </c>
      <c r="D6" s="13" t="s">
        <v>233</v>
      </c>
      <c r="H6" s="67" t="s">
        <v>67</v>
      </c>
      <c r="I6" s="68"/>
      <c r="J6" s="69">
        <v>3</v>
      </c>
      <c r="K6" s="69"/>
      <c r="L6" s="69">
        <v>3</v>
      </c>
      <c r="M6" s="70">
        <v>6</v>
      </c>
    </row>
    <row r="7" spans="1:13" ht="15.75" customHeight="1">
      <c r="A7" s="57" t="s">
        <v>67</v>
      </c>
      <c r="B7" s="57" t="s">
        <v>219</v>
      </c>
      <c r="C7" s="57" t="s">
        <v>190</v>
      </c>
      <c r="D7" s="13" t="s">
        <v>233</v>
      </c>
      <c r="H7" s="67" t="s">
        <v>21</v>
      </c>
      <c r="I7" s="68"/>
      <c r="J7" s="69">
        <v>2</v>
      </c>
      <c r="K7" s="69"/>
      <c r="L7" s="69">
        <v>2</v>
      </c>
      <c r="M7" s="70">
        <v>4</v>
      </c>
    </row>
    <row r="8" spans="1:13" ht="15.75" hidden="1" customHeight="1">
      <c r="A8" s="29" t="s">
        <v>21</v>
      </c>
      <c r="B8" s="29" t="s">
        <v>23</v>
      </c>
      <c r="C8" s="29" t="s">
        <v>230</v>
      </c>
      <c r="H8" s="67" t="s">
        <v>82</v>
      </c>
      <c r="I8" s="68">
        <v>3</v>
      </c>
      <c r="J8" s="69">
        <v>2</v>
      </c>
      <c r="K8" s="69">
        <v>4</v>
      </c>
      <c r="L8" s="69">
        <v>4</v>
      </c>
      <c r="M8" s="70">
        <v>13</v>
      </c>
    </row>
    <row r="9" spans="1:13" ht="15.75" hidden="1" customHeight="1">
      <c r="A9" s="29" t="s">
        <v>21</v>
      </c>
      <c r="B9" s="29" t="s">
        <v>40</v>
      </c>
      <c r="C9" s="29" t="s">
        <v>230</v>
      </c>
      <c r="H9" s="67" t="s">
        <v>202</v>
      </c>
      <c r="I9" s="68">
        <v>11</v>
      </c>
      <c r="J9" s="69">
        <v>5</v>
      </c>
      <c r="K9" s="69">
        <v>3</v>
      </c>
      <c r="L9" s="69">
        <v>4</v>
      </c>
      <c r="M9" s="70">
        <v>23</v>
      </c>
    </row>
    <row r="10" spans="1:13" ht="15.75" customHeight="1">
      <c r="A10" s="29" t="s">
        <v>21</v>
      </c>
      <c r="B10" s="29" t="s">
        <v>164</v>
      </c>
      <c r="C10" s="29" t="s">
        <v>190</v>
      </c>
      <c r="H10" s="67" t="s">
        <v>32</v>
      </c>
      <c r="I10" s="68">
        <v>5</v>
      </c>
      <c r="J10" s="69">
        <v>4</v>
      </c>
      <c r="K10" s="69">
        <v>1</v>
      </c>
      <c r="L10" s="69">
        <v>1</v>
      </c>
      <c r="M10" s="70">
        <v>11</v>
      </c>
    </row>
    <row r="11" spans="1:13" ht="15.75" customHeight="1">
      <c r="A11" s="29" t="s">
        <v>21</v>
      </c>
      <c r="B11" s="29" t="s">
        <v>219</v>
      </c>
      <c r="C11" s="29" t="s">
        <v>190</v>
      </c>
      <c r="H11" s="67" t="s">
        <v>38</v>
      </c>
      <c r="I11" s="68">
        <v>2</v>
      </c>
      <c r="J11" s="69">
        <v>5</v>
      </c>
      <c r="K11" s="69">
        <v>7</v>
      </c>
      <c r="L11" s="69">
        <v>2</v>
      </c>
      <c r="M11" s="70">
        <v>16</v>
      </c>
    </row>
    <row r="12" spans="1:13" ht="15.75" hidden="1" customHeight="1">
      <c r="A12" s="29" t="s">
        <v>38</v>
      </c>
      <c r="B12" s="29" t="s">
        <v>40</v>
      </c>
      <c r="C12" s="29" t="s">
        <v>230</v>
      </c>
      <c r="H12" s="67" t="s">
        <v>43</v>
      </c>
      <c r="I12" s="68">
        <v>4</v>
      </c>
      <c r="J12" s="69">
        <v>5</v>
      </c>
      <c r="K12" s="69">
        <v>1</v>
      </c>
      <c r="L12" s="69">
        <v>5</v>
      </c>
      <c r="M12" s="70">
        <v>15</v>
      </c>
    </row>
    <row r="13" spans="1:13" ht="15.75" hidden="1" customHeight="1">
      <c r="A13" s="29" t="s">
        <v>38</v>
      </c>
      <c r="B13" s="29" t="s">
        <v>29</v>
      </c>
      <c r="C13" s="29" t="s">
        <v>230</v>
      </c>
      <c r="H13" s="67" t="s">
        <v>62</v>
      </c>
      <c r="I13" s="68">
        <v>3</v>
      </c>
      <c r="J13" s="69">
        <v>2</v>
      </c>
      <c r="K13" s="69">
        <v>2</v>
      </c>
      <c r="L13" s="69">
        <v>2</v>
      </c>
      <c r="M13" s="70">
        <v>9</v>
      </c>
    </row>
    <row r="14" spans="1:13" ht="15.75" hidden="1" customHeight="1">
      <c r="A14" s="29" t="s">
        <v>38</v>
      </c>
      <c r="B14" s="29" t="s">
        <v>77</v>
      </c>
      <c r="C14" s="29" t="s">
        <v>230</v>
      </c>
      <c r="H14" s="67" t="s">
        <v>48</v>
      </c>
      <c r="I14" s="68"/>
      <c r="J14" s="69">
        <v>1</v>
      </c>
      <c r="K14" s="69"/>
      <c r="L14" s="69">
        <v>1</v>
      </c>
      <c r="M14" s="70">
        <v>2</v>
      </c>
    </row>
    <row r="15" spans="1:13" ht="15.75" hidden="1" customHeight="1">
      <c r="A15" s="29" t="s">
        <v>38</v>
      </c>
      <c r="B15" s="29" t="s">
        <v>16</v>
      </c>
      <c r="C15" s="29" t="s">
        <v>230</v>
      </c>
      <c r="H15" s="67" t="s">
        <v>52</v>
      </c>
      <c r="I15" s="68">
        <v>5</v>
      </c>
      <c r="J15" s="69">
        <v>4</v>
      </c>
      <c r="K15" s="69">
        <v>1</v>
      </c>
      <c r="L15" s="69">
        <v>2</v>
      </c>
      <c r="M15" s="70">
        <v>12</v>
      </c>
    </row>
    <row r="16" spans="1:13" ht="15.75" hidden="1" customHeight="1">
      <c r="A16" s="29" t="s">
        <v>38</v>
      </c>
      <c r="B16" s="29" t="s">
        <v>80</v>
      </c>
      <c r="C16" s="29" t="s">
        <v>230</v>
      </c>
      <c r="H16" s="67" t="s">
        <v>57</v>
      </c>
      <c r="I16" s="68"/>
      <c r="J16" s="69">
        <v>1</v>
      </c>
      <c r="K16" s="69"/>
      <c r="L16" s="69">
        <v>2</v>
      </c>
      <c r="M16" s="70">
        <v>3</v>
      </c>
    </row>
    <row r="17" spans="1:13" ht="15.75" customHeight="1">
      <c r="A17" s="57" t="s">
        <v>38</v>
      </c>
      <c r="B17" s="57" t="s">
        <v>167</v>
      </c>
      <c r="C17" s="57" t="s">
        <v>190</v>
      </c>
      <c r="D17" s="13" t="s">
        <v>233</v>
      </c>
      <c r="H17" s="71" t="s">
        <v>232</v>
      </c>
      <c r="I17" s="72">
        <v>36</v>
      </c>
      <c r="J17" s="73">
        <v>38</v>
      </c>
      <c r="K17" s="73">
        <v>20</v>
      </c>
      <c r="L17" s="73">
        <v>33</v>
      </c>
      <c r="M17" s="74">
        <v>127</v>
      </c>
    </row>
    <row r="18" spans="1:13" ht="15.75" customHeight="1">
      <c r="A18" s="57" t="s">
        <v>38</v>
      </c>
      <c r="B18" s="57" t="s">
        <v>172</v>
      </c>
      <c r="C18" s="57" t="s">
        <v>190</v>
      </c>
      <c r="D18" s="13" t="s">
        <v>233</v>
      </c>
    </row>
    <row r="19" spans="1:13" ht="15.75" hidden="1" customHeight="1">
      <c r="A19" s="29" t="s">
        <v>38</v>
      </c>
      <c r="B19" s="29" t="s">
        <v>165</v>
      </c>
      <c r="C19" s="29" t="s">
        <v>191</v>
      </c>
    </row>
    <row r="20" spans="1:13" ht="15.75" hidden="1" customHeight="1">
      <c r="A20" s="29" t="s">
        <v>38</v>
      </c>
      <c r="B20" s="29" t="s">
        <v>219</v>
      </c>
      <c r="C20" s="29" t="s">
        <v>191</v>
      </c>
    </row>
    <row r="21" spans="1:13" ht="15.75" hidden="1" customHeight="1">
      <c r="A21" s="29" t="s">
        <v>38</v>
      </c>
      <c r="B21" s="29" t="s">
        <v>23</v>
      </c>
      <c r="C21" s="29" t="s">
        <v>191</v>
      </c>
    </row>
    <row r="22" spans="1:13" ht="15.75" hidden="1" customHeight="1">
      <c r="A22" s="29" t="s">
        <v>38</v>
      </c>
      <c r="B22" s="29" t="s">
        <v>34</v>
      </c>
      <c r="C22" s="29" t="s">
        <v>191</v>
      </c>
    </row>
    <row r="23" spans="1:13" ht="15.75" hidden="1" customHeight="1">
      <c r="A23" s="29" t="s">
        <v>38</v>
      </c>
      <c r="B23" s="29" t="s">
        <v>168</v>
      </c>
      <c r="C23" s="29" t="s">
        <v>191</v>
      </c>
    </row>
    <row r="24" spans="1:13" ht="15.75" hidden="1" customHeight="1">
      <c r="A24" s="29" t="s">
        <v>38</v>
      </c>
      <c r="B24" s="29" t="s">
        <v>64</v>
      </c>
      <c r="C24" s="29" t="s">
        <v>191</v>
      </c>
    </row>
    <row r="25" spans="1:13" ht="15.75" hidden="1" customHeight="1">
      <c r="A25" s="29" t="s">
        <v>38</v>
      </c>
      <c r="B25" s="29" t="s">
        <v>174</v>
      </c>
      <c r="C25" s="29" t="s">
        <v>191</v>
      </c>
    </row>
    <row r="26" spans="1:13" ht="15.75" hidden="1" customHeight="1">
      <c r="A26" s="29" t="s">
        <v>38</v>
      </c>
      <c r="B26" s="29" t="s">
        <v>166</v>
      </c>
      <c r="C26" s="29" t="s">
        <v>192</v>
      </c>
    </row>
    <row r="27" spans="1:13" ht="15.75" hidden="1" customHeight="1">
      <c r="A27" s="29" t="s">
        <v>38</v>
      </c>
      <c r="B27" s="29" t="s">
        <v>59</v>
      </c>
      <c r="C27" s="29" t="s">
        <v>192</v>
      </c>
    </row>
    <row r="28" spans="1:13" ht="15.75" hidden="1" customHeight="1">
      <c r="A28" s="29" t="s">
        <v>202</v>
      </c>
      <c r="B28" s="29" t="s">
        <v>29</v>
      </c>
      <c r="C28" s="29" t="s">
        <v>230</v>
      </c>
    </row>
    <row r="29" spans="1:13" ht="15.75" hidden="1" customHeight="1">
      <c r="A29" s="29" t="s">
        <v>202</v>
      </c>
      <c r="B29" s="29" t="s">
        <v>73</v>
      </c>
      <c r="C29" s="29" t="s">
        <v>230</v>
      </c>
    </row>
    <row r="30" spans="1:13" ht="15.75" hidden="1" customHeight="1">
      <c r="A30" s="29" t="s">
        <v>202</v>
      </c>
      <c r="B30" s="29" t="s">
        <v>40</v>
      </c>
      <c r="C30" s="29" t="s">
        <v>230</v>
      </c>
    </row>
    <row r="31" spans="1:13" ht="15.75" hidden="1" customHeight="1">
      <c r="A31" s="29" t="s">
        <v>202</v>
      </c>
      <c r="B31" s="29" t="s">
        <v>80</v>
      </c>
      <c r="C31" s="29" t="s">
        <v>230</v>
      </c>
    </row>
    <row r="32" spans="1:13" ht="15.75" hidden="1" customHeight="1">
      <c r="A32" s="29" t="s">
        <v>202</v>
      </c>
      <c r="B32" s="29" t="s">
        <v>45</v>
      </c>
      <c r="C32" s="29" t="s">
        <v>230</v>
      </c>
    </row>
    <row r="33" spans="1:3" ht="15.75" customHeight="1">
      <c r="A33" s="29" t="s">
        <v>202</v>
      </c>
      <c r="B33" s="29" t="s">
        <v>166</v>
      </c>
      <c r="C33" s="29" t="s">
        <v>190</v>
      </c>
    </row>
    <row r="34" spans="1:3" ht="15.75" customHeight="1">
      <c r="A34" s="29" t="s">
        <v>202</v>
      </c>
      <c r="B34" s="29" t="s">
        <v>167</v>
      </c>
      <c r="C34" s="29" t="s">
        <v>190</v>
      </c>
    </row>
    <row r="35" spans="1:3" ht="15.75" customHeight="1">
      <c r="A35" s="29" t="s">
        <v>202</v>
      </c>
      <c r="B35" s="29" t="s">
        <v>169</v>
      </c>
      <c r="C35" s="29" t="s">
        <v>190</v>
      </c>
    </row>
    <row r="36" spans="1:3" ht="15.75" customHeight="1">
      <c r="A36" s="29" t="s">
        <v>202</v>
      </c>
      <c r="B36" s="29" t="s">
        <v>174</v>
      </c>
      <c r="C36" s="29" t="s">
        <v>190</v>
      </c>
    </row>
    <row r="37" spans="1:3" ht="15.75" hidden="1" customHeight="1">
      <c r="A37" s="29" t="s">
        <v>202</v>
      </c>
      <c r="B37" s="29" t="s">
        <v>164</v>
      </c>
      <c r="C37" s="29" t="s">
        <v>191</v>
      </c>
    </row>
    <row r="38" spans="1:3" ht="15.75" hidden="1" customHeight="1">
      <c r="A38" s="29" t="s">
        <v>202</v>
      </c>
      <c r="B38" s="29" t="s">
        <v>168</v>
      </c>
      <c r="C38" s="29" t="s">
        <v>191</v>
      </c>
    </row>
    <row r="39" spans="1:3" ht="15.75" hidden="1" customHeight="1">
      <c r="A39" s="29" t="s">
        <v>202</v>
      </c>
      <c r="B39" s="29" t="s">
        <v>171</v>
      </c>
      <c r="C39" s="29" t="s">
        <v>191</v>
      </c>
    </row>
    <row r="40" spans="1:3" ht="15.75" hidden="1" customHeight="1">
      <c r="A40" s="29" t="s">
        <v>202</v>
      </c>
      <c r="B40" s="29" t="s">
        <v>165</v>
      </c>
      <c r="C40" s="29" t="s">
        <v>192</v>
      </c>
    </row>
    <row r="41" spans="1:3" ht="15.75" hidden="1" customHeight="1">
      <c r="A41" s="29" t="s">
        <v>202</v>
      </c>
      <c r="B41" s="29" t="s">
        <v>77</v>
      </c>
      <c r="C41" s="29" t="s">
        <v>192</v>
      </c>
    </row>
    <row r="42" spans="1:3" ht="15.75" hidden="1" customHeight="1">
      <c r="A42" s="29" t="s">
        <v>202</v>
      </c>
      <c r="B42" s="29" t="s">
        <v>219</v>
      </c>
      <c r="C42" s="29" t="s">
        <v>192</v>
      </c>
    </row>
    <row r="43" spans="1:3" ht="15.75" hidden="1" customHeight="1">
      <c r="A43" s="29" t="s">
        <v>202</v>
      </c>
      <c r="B43" s="29" t="s">
        <v>23</v>
      </c>
      <c r="C43" s="29" t="s">
        <v>192</v>
      </c>
    </row>
    <row r="44" spans="1:3" ht="15.75" hidden="1" customHeight="1">
      <c r="A44" s="29" t="s">
        <v>202</v>
      </c>
      <c r="B44" s="29" t="s">
        <v>34</v>
      </c>
      <c r="C44" s="29" t="s">
        <v>192</v>
      </c>
    </row>
    <row r="45" spans="1:3" ht="15.75" hidden="1" customHeight="1">
      <c r="A45" s="29" t="s">
        <v>202</v>
      </c>
      <c r="B45" s="29" t="s">
        <v>170</v>
      </c>
      <c r="C45" s="29" t="s">
        <v>192</v>
      </c>
    </row>
    <row r="46" spans="1:3" ht="15.75" hidden="1" customHeight="1">
      <c r="A46" s="29" t="s">
        <v>202</v>
      </c>
      <c r="B46" s="29" t="s">
        <v>64</v>
      </c>
      <c r="C46" s="29" t="s">
        <v>192</v>
      </c>
    </row>
    <row r="47" spans="1:3" ht="15.75" hidden="1" customHeight="1">
      <c r="A47" s="29" t="s">
        <v>202</v>
      </c>
      <c r="B47" s="29" t="s">
        <v>172</v>
      </c>
      <c r="C47" s="29" t="s">
        <v>192</v>
      </c>
    </row>
    <row r="48" spans="1:3" ht="15.75" hidden="1" customHeight="1">
      <c r="A48" s="29" t="s">
        <v>202</v>
      </c>
      <c r="B48" s="29" t="s">
        <v>173</v>
      </c>
      <c r="C48" s="29" t="s">
        <v>192</v>
      </c>
    </row>
    <row r="49" spans="1:3" ht="15.75" hidden="1" customHeight="1">
      <c r="A49" s="29" t="s">
        <v>202</v>
      </c>
      <c r="B49" s="29" t="s">
        <v>54</v>
      </c>
      <c r="C49" s="29" t="s">
        <v>192</v>
      </c>
    </row>
    <row r="50" spans="1:3" ht="15.75" hidden="1" customHeight="1">
      <c r="A50" s="29" t="s">
        <v>202</v>
      </c>
      <c r="B50" s="29" t="s">
        <v>75</v>
      </c>
      <c r="C50" s="29" t="s">
        <v>192</v>
      </c>
    </row>
    <row r="51" spans="1:3" ht="15.75" hidden="1" customHeight="1">
      <c r="A51" s="29" t="s">
        <v>43</v>
      </c>
      <c r="B51" s="29" t="s">
        <v>45</v>
      </c>
      <c r="C51" s="29" t="s">
        <v>230</v>
      </c>
    </row>
    <row r="52" spans="1:3" ht="15.75" hidden="1" customHeight="1">
      <c r="A52" s="29" t="s">
        <v>43</v>
      </c>
      <c r="B52" s="29" t="s">
        <v>219</v>
      </c>
      <c r="C52" s="29" t="s">
        <v>230</v>
      </c>
    </row>
    <row r="53" spans="1:3" ht="15.75" hidden="1" customHeight="1">
      <c r="A53" s="29" t="s">
        <v>43</v>
      </c>
      <c r="B53" s="29" t="s">
        <v>23</v>
      </c>
      <c r="C53" s="29" t="s">
        <v>230</v>
      </c>
    </row>
    <row r="54" spans="1:3" ht="15.75" hidden="1" customHeight="1">
      <c r="A54" s="29" t="s">
        <v>43</v>
      </c>
      <c r="B54" s="29" t="s">
        <v>34</v>
      </c>
      <c r="C54" s="29" t="s">
        <v>230</v>
      </c>
    </row>
    <row r="55" spans="1:3" ht="15.75" hidden="1" customHeight="1">
      <c r="A55" s="29" t="s">
        <v>43</v>
      </c>
      <c r="B55" s="29" t="s">
        <v>64</v>
      </c>
      <c r="C55" s="29" t="s">
        <v>230</v>
      </c>
    </row>
    <row r="56" spans="1:3" ht="15.75" customHeight="1">
      <c r="A56" s="29" t="s">
        <v>43</v>
      </c>
      <c r="B56" s="29" t="s">
        <v>164</v>
      </c>
      <c r="C56" s="29" t="s">
        <v>190</v>
      </c>
    </row>
    <row r="57" spans="1:3" ht="15.75" customHeight="1">
      <c r="A57" s="29" t="s">
        <v>43</v>
      </c>
      <c r="B57" s="29" t="s">
        <v>166</v>
      </c>
      <c r="C57" s="29" t="s">
        <v>190</v>
      </c>
    </row>
    <row r="58" spans="1:3" ht="15.75" customHeight="1">
      <c r="A58" s="29" t="s">
        <v>43</v>
      </c>
      <c r="B58" s="29" t="s">
        <v>167</v>
      </c>
      <c r="C58" s="29" t="s">
        <v>190</v>
      </c>
    </row>
    <row r="59" spans="1:3" ht="15.75" customHeight="1">
      <c r="A59" s="29" t="s">
        <v>43</v>
      </c>
      <c r="B59" s="29" t="s">
        <v>172</v>
      </c>
      <c r="C59" s="29" t="s">
        <v>190</v>
      </c>
    </row>
    <row r="60" spans="1:3" ht="15.75" customHeight="1">
      <c r="A60" s="29" t="s">
        <v>43</v>
      </c>
      <c r="B60" s="29" t="s">
        <v>174</v>
      </c>
      <c r="C60" s="29" t="s">
        <v>190</v>
      </c>
    </row>
    <row r="61" spans="1:3" ht="15.75" hidden="1" customHeight="1">
      <c r="A61" s="29" t="s">
        <v>43</v>
      </c>
      <c r="B61" s="29" t="s">
        <v>168</v>
      </c>
      <c r="C61" s="29" t="s">
        <v>191</v>
      </c>
    </row>
    <row r="62" spans="1:3" ht="15.75" hidden="1" customHeight="1">
      <c r="A62" s="29" t="s">
        <v>43</v>
      </c>
      <c r="B62" s="29" t="s">
        <v>165</v>
      </c>
      <c r="C62" s="29" t="s">
        <v>192</v>
      </c>
    </row>
    <row r="63" spans="1:3" ht="15.75" hidden="1" customHeight="1">
      <c r="A63" s="29" t="s">
        <v>43</v>
      </c>
      <c r="B63" s="29" t="s">
        <v>40</v>
      </c>
      <c r="C63" s="29" t="s">
        <v>192</v>
      </c>
    </row>
    <row r="64" spans="1:3" ht="15.75" hidden="1" customHeight="1">
      <c r="A64" s="29" t="s">
        <v>43</v>
      </c>
      <c r="B64" s="29" t="s">
        <v>171</v>
      </c>
      <c r="C64" s="29" t="s">
        <v>192</v>
      </c>
    </row>
    <row r="65" spans="1:3" ht="15.75" hidden="1" customHeight="1">
      <c r="A65" s="29" t="s">
        <v>43</v>
      </c>
      <c r="B65" s="29" t="s">
        <v>54</v>
      </c>
      <c r="C65" s="29" t="s">
        <v>192</v>
      </c>
    </row>
    <row r="66" spans="1:3" ht="15.75" hidden="1" customHeight="1">
      <c r="A66" s="29" t="s">
        <v>32</v>
      </c>
      <c r="B66" s="29" t="s">
        <v>34</v>
      </c>
      <c r="C66" s="29" t="s">
        <v>230</v>
      </c>
    </row>
    <row r="67" spans="1:3" ht="15.75" hidden="1" customHeight="1">
      <c r="A67" s="29" t="s">
        <v>32</v>
      </c>
      <c r="B67" s="29" t="s">
        <v>75</v>
      </c>
      <c r="C67" s="29" t="s">
        <v>230</v>
      </c>
    </row>
    <row r="68" spans="1:3" ht="15.75" hidden="1" customHeight="1">
      <c r="A68" s="29" t="s">
        <v>32</v>
      </c>
      <c r="B68" s="29" t="s">
        <v>45</v>
      </c>
      <c r="C68" s="29" t="s">
        <v>230</v>
      </c>
    </row>
    <row r="69" spans="1:3" ht="15.75" hidden="1" customHeight="1">
      <c r="A69" s="29" t="s">
        <v>32</v>
      </c>
      <c r="B69" s="29" t="s">
        <v>54</v>
      </c>
      <c r="C69" s="29" t="s">
        <v>230</v>
      </c>
    </row>
    <row r="70" spans="1:3" ht="15.75" customHeight="1">
      <c r="A70" s="29" t="s">
        <v>32</v>
      </c>
      <c r="B70" s="29" t="s">
        <v>168</v>
      </c>
      <c r="C70" s="29" t="s">
        <v>190</v>
      </c>
    </row>
    <row r="71" spans="1:3" ht="15.75" hidden="1" customHeight="1">
      <c r="A71" s="29" t="s">
        <v>32</v>
      </c>
      <c r="B71" s="29" t="s">
        <v>165</v>
      </c>
      <c r="C71" s="29" t="s">
        <v>191</v>
      </c>
    </row>
    <row r="72" spans="1:3" ht="15.75" hidden="1" customHeight="1">
      <c r="A72" s="29" t="s">
        <v>32</v>
      </c>
      <c r="B72" s="29" t="s">
        <v>40</v>
      </c>
      <c r="C72" s="29" t="s">
        <v>192</v>
      </c>
    </row>
    <row r="73" spans="1:3" ht="15.75" hidden="1" customHeight="1">
      <c r="A73" s="29" t="s">
        <v>32</v>
      </c>
      <c r="B73" s="29" t="s">
        <v>80</v>
      </c>
      <c r="C73" s="29" t="s">
        <v>192</v>
      </c>
    </row>
    <row r="74" spans="1:3" ht="15.75" hidden="1" customHeight="1">
      <c r="A74" s="29" t="s">
        <v>32</v>
      </c>
      <c r="B74" s="29" t="s">
        <v>219</v>
      </c>
      <c r="C74" s="29" t="s">
        <v>192</v>
      </c>
    </row>
    <row r="75" spans="1:3" ht="15.75" hidden="1" customHeight="1">
      <c r="A75" s="29" t="s">
        <v>32</v>
      </c>
      <c r="B75" s="29" t="s">
        <v>171</v>
      </c>
      <c r="C75" s="29" t="s">
        <v>192</v>
      </c>
    </row>
    <row r="76" spans="1:3" ht="15.75" hidden="1" customHeight="1">
      <c r="A76" s="29" t="s">
        <v>32</v>
      </c>
      <c r="B76" s="29" t="s">
        <v>59</v>
      </c>
      <c r="C76" s="29" t="s">
        <v>192</v>
      </c>
    </row>
    <row r="77" spans="1:3" ht="15.75" hidden="1" customHeight="1">
      <c r="A77" s="29" t="s">
        <v>52</v>
      </c>
      <c r="B77" s="29" t="s">
        <v>54</v>
      </c>
      <c r="C77" s="29" t="s">
        <v>230</v>
      </c>
    </row>
    <row r="78" spans="1:3" ht="15.75" hidden="1" customHeight="1">
      <c r="A78" s="29" t="s">
        <v>52</v>
      </c>
      <c r="B78" s="29" t="s">
        <v>77</v>
      </c>
      <c r="C78" s="29" t="s">
        <v>230</v>
      </c>
    </row>
    <row r="79" spans="1:3" ht="15.75" hidden="1" customHeight="1">
      <c r="A79" s="29" t="s">
        <v>52</v>
      </c>
      <c r="B79" s="29" t="s">
        <v>73</v>
      </c>
      <c r="C79" s="29" t="s">
        <v>230</v>
      </c>
    </row>
    <row r="80" spans="1:3" ht="15.75" hidden="1" customHeight="1">
      <c r="A80" s="29" t="s">
        <v>52</v>
      </c>
      <c r="B80" s="29" t="s">
        <v>40</v>
      </c>
      <c r="C80" s="29" t="s">
        <v>230</v>
      </c>
    </row>
    <row r="81" spans="1:3" ht="15.75" customHeight="1">
      <c r="A81" s="29" t="s">
        <v>52</v>
      </c>
      <c r="B81" s="29" t="s">
        <v>219</v>
      </c>
      <c r="C81" s="29" t="s">
        <v>190</v>
      </c>
    </row>
    <row r="82" spans="1:3" ht="15.75" customHeight="1">
      <c r="A82" s="29" t="s">
        <v>52</v>
      </c>
      <c r="B82" s="29" t="s">
        <v>174</v>
      </c>
      <c r="C82" s="29" t="s">
        <v>190</v>
      </c>
    </row>
    <row r="83" spans="1:3" ht="15.75" hidden="1" customHeight="1">
      <c r="A83" s="29" t="s">
        <v>52</v>
      </c>
      <c r="B83" s="29" t="s">
        <v>164</v>
      </c>
      <c r="C83" s="29" t="s">
        <v>191</v>
      </c>
    </row>
    <row r="84" spans="1:3" ht="15.75" hidden="1" customHeight="1">
      <c r="A84" s="29" t="s">
        <v>52</v>
      </c>
      <c r="B84" s="29" t="s">
        <v>29</v>
      </c>
      <c r="C84" s="29" t="s">
        <v>192</v>
      </c>
    </row>
    <row r="85" spans="1:3" ht="15.75" hidden="1" customHeight="1">
      <c r="A85" s="29" t="s">
        <v>52</v>
      </c>
      <c r="B85" s="29" t="s">
        <v>167</v>
      </c>
      <c r="C85" s="29" t="s">
        <v>192</v>
      </c>
    </row>
    <row r="86" spans="1:3" ht="15.75" hidden="1" customHeight="1">
      <c r="A86" s="29" t="s">
        <v>52</v>
      </c>
      <c r="B86" s="29" t="s">
        <v>170</v>
      </c>
      <c r="C86" s="29" t="s">
        <v>192</v>
      </c>
    </row>
    <row r="87" spans="1:3" ht="15.75" hidden="1" customHeight="1">
      <c r="A87" s="29" t="s">
        <v>52</v>
      </c>
      <c r="B87" s="29" t="s">
        <v>171</v>
      </c>
      <c r="C87" s="29" t="s">
        <v>192</v>
      </c>
    </row>
    <row r="88" spans="1:3" ht="15.75" hidden="1" customHeight="1">
      <c r="A88" s="29" t="s">
        <v>52</v>
      </c>
      <c r="B88" s="29" t="s">
        <v>59</v>
      </c>
      <c r="C88" s="29" t="s">
        <v>192</v>
      </c>
    </row>
    <row r="89" spans="1:3" ht="15.75" hidden="1" customHeight="1">
      <c r="A89" s="29" t="s">
        <v>114</v>
      </c>
      <c r="B89" s="29" t="s">
        <v>64</v>
      </c>
      <c r="C89" s="29" t="s">
        <v>230</v>
      </c>
    </row>
    <row r="90" spans="1:3" ht="15.75" hidden="1" customHeight="1">
      <c r="A90" s="29" t="s">
        <v>114</v>
      </c>
      <c r="B90" s="29" t="s">
        <v>40</v>
      </c>
      <c r="C90" s="29" t="s">
        <v>230</v>
      </c>
    </row>
    <row r="91" spans="1:3" ht="15.75" customHeight="1">
      <c r="A91" s="29" t="s">
        <v>114</v>
      </c>
      <c r="B91" s="29" t="s">
        <v>165</v>
      </c>
      <c r="C91" s="29" t="s">
        <v>190</v>
      </c>
    </row>
    <row r="92" spans="1:3" ht="15.75" customHeight="1">
      <c r="A92" s="29" t="s">
        <v>114</v>
      </c>
      <c r="B92" s="29" t="s">
        <v>168</v>
      </c>
      <c r="C92" s="29" t="s">
        <v>190</v>
      </c>
    </row>
    <row r="93" spans="1:3" ht="15.75" hidden="1" customHeight="1">
      <c r="A93" s="29" t="s">
        <v>114</v>
      </c>
      <c r="B93" s="29" t="s">
        <v>164</v>
      </c>
      <c r="C93" s="29" t="s">
        <v>192</v>
      </c>
    </row>
    <row r="94" spans="1:3" ht="15.75" hidden="1" customHeight="1">
      <c r="A94" s="29" t="s">
        <v>114</v>
      </c>
      <c r="B94" s="29" t="s">
        <v>219</v>
      </c>
      <c r="C94" s="29" t="s">
        <v>192</v>
      </c>
    </row>
    <row r="95" spans="1:3" ht="15.75" hidden="1" customHeight="1">
      <c r="A95" s="29" t="s">
        <v>114</v>
      </c>
      <c r="B95" s="29" t="s">
        <v>75</v>
      </c>
      <c r="C95" s="29" t="s">
        <v>192</v>
      </c>
    </row>
    <row r="96" spans="1:3" ht="15.75" hidden="1" customHeight="1">
      <c r="A96" s="29" t="s">
        <v>57</v>
      </c>
      <c r="B96" s="29" t="s">
        <v>59</v>
      </c>
      <c r="C96" s="29" t="s">
        <v>230</v>
      </c>
    </row>
    <row r="97" spans="1:3" ht="15.75" customHeight="1">
      <c r="A97" s="29" t="s">
        <v>57</v>
      </c>
      <c r="B97" s="29" t="s">
        <v>168</v>
      </c>
      <c r="C97" s="29" t="s">
        <v>190</v>
      </c>
    </row>
    <row r="98" spans="1:3" ht="15.75" customHeight="1">
      <c r="A98" s="29" t="s">
        <v>57</v>
      </c>
      <c r="B98" s="29" t="s">
        <v>174</v>
      </c>
      <c r="C98" s="29" t="s">
        <v>190</v>
      </c>
    </row>
    <row r="99" spans="1:3" ht="15.75" hidden="1" customHeight="1">
      <c r="A99" s="29" t="s">
        <v>48</v>
      </c>
      <c r="B99" s="29" t="s">
        <v>219</v>
      </c>
      <c r="C99" s="29" t="s">
        <v>230</v>
      </c>
    </row>
    <row r="100" spans="1:3" ht="15.75" customHeight="1">
      <c r="A100" s="29" t="s">
        <v>48</v>
      </c>
      <c r="B100" s="29" t="s">
        <v>164</v>
      </c>
      <c r="C100" s="29" t="s">
        <v>190</v>
      </c>
    </row>
    <row r="101" spans="1:3" ht="15.75" hidden="1" customHeight="1">
      <c r="A101" s="29" t="s">
        <v>14</v>
      </c>
      <c r="B101" s="29" t="s">
        <v>16</v>
      </c>
      <c r="C101" s="29" t="s">
        <v>230</v>
      </c>
    </row>
    <row r="102" spans="1:3" ht="15.75" hidden="1" customHeight="1">
      <c r="A102" s="29" t="s">
        <v>14</v>
      </c>
      <c r="B102" s="29" t="s">
        <v>29</v>
      </c>
      <c r="C102" s="29" t="s">
        <v>230</v>
      </c>
    </row>
    <row r="103" spans="1:3" ht="15.75" customHeight="1">
      <c r="A103" s="29" t="s">
        <v>14</v>
      </c>
      <c r="B103" s="29" t="s">
        <v>165</v>
      </c>
      <c r="C103" s="29" t="s">
        <v>190</v>
      </c>
    </row>
    <row r="104" spans="1:3" ht="15.75" customHeight="1">
      <c r="A104" s="29" t="s">
        <v>14</v>
      </c>
      <c r="B104" s="29" t="s">
        <v>167</v>
      </c>
      <c r="C104" s="29" t="s">
        <v>190</v>
      </c>
    </row>
    <row r="105" spans="1:3" ht="15.75" customHeight="1">
      <c r="A105" s="29" t="s">
        <v>14</v>
      </c>
      <c r="B105" s="29" t="s">
        <v>174</v>
      </c>
      <c r="C105" s="29" t="s">
        <v>190</v>
      </c>
    </row>
    <row r="106" spans="1:3" ht="15.75" hidden="1" customHeight="1">
      <c r="A106" s="29" t="s">
        <v>14</v>
      </c>
      <c r="B106" s="29" t="s">
        <v>164</v>
      </c>
      <c r="C106" s="29" t="s">
        <v>191</v>
      </c>
    </row>
    <row r="107" spans="1:3" ht="15.75" hidden="1" customHeight="1">
      <c r="A107" s="29" t="s">
        <v>82</v>
      </c>
      <c r="B107" s="29" t="s">
        <v>16</v>
      </c>
      <c r="C107" s="29" t="s">
        <v>230</v>
      </c>
    </row>
    <row r="108" spans="1:3" ht="15.75" hidden="1" customHeight="1">
      <c r="A108" s="29" t="s">
        <v>82</v>
      </c>
      <c r="B108" s="29" t="s">
        <v>29</v>
      </c>
      <c r="C108" s="29" t="s">
        <v>230</v>
      </c>
    </row>
    <row r="109" spans="1:3" ht="15.75" customHeight="1">
      <c r="A109" s="29" t="s">
        <v>82</v>
      </c>
      <c r="B109" s="29" t="s">
        <v>73</v>
      </c>
      <c r="C109" s="29" t="s">
        <v>190</v>
      </c>
    </row>
    <row r="110" spans="1:3" ht="15.75" customHeight="1">
      <c r="A110" s="29" t="s">
        <v>82</v>
      </c>
      <c r="B110" s="29" t="s">
        <v>168</v>
      </c>
      <c r="C110" s="29" t="s">
        <v>190</v>
      </c>
    </row>
    <row r="111" spans="1:3" ht="15.75" customHeight="1">
      <c r="A111" s="29" t="s">
        <v>82</v>
      </c>
      <c r="B111" s="29" t="s">
        <v>171</v>
      </c>
      <c r="C111" s="29" t="s">
        <v>190</v>
      </c>
    </row>
    <row r="112" spans="1:3" ht="15.75" customHeight="1">
      <c r="A112" s="29" t="s">
        <v>82</v>
      </c>
      <c r="B112" s="29" t="s">
        <v>174</v>
      </c>
      <c r="C112" s="29" t="s">
        <v>190</v>
      </c>
    </row>
    <row r="113" spans="1:4" ht="15.75" hidden="1" customHeight="1">
      <c r="A113" s="29" t="s">
        <v>82</v>
      </c>
      <c r="B113" s="29" t="s">
        <v>40</v>
      </c>
      <c r="C113" s="29" t="s">
        <v>191</v>
      </c>
    </row>
    <row r="114" spans="1:4" ht="15.75" hidden="1" customHeight="1">
      <c r="A114" s="29" t="s">
        <v>82</v>
      </c>
      <c r="B114" s="29" t="s">
        <v>166</v>
      </c>
      <c r="C114" s="29" t="s">
        <v>191</v>
      </c>
    </row>
    <row r="115" spans="1:4" ht="15.75" hidden="1" customHeight="1">
      <c r="A115" s="29" t="s">
        <v>82</v>
      </c>
      <c r="B115" s="29" t="s">
        <v>219</v>
      </c>
      <c r="C115" s="29" t="s">
        <v>191</v>
      </c>
    </row>
    <row r="116" spans="1:4" ht="15.75" hidden="1" customHeight="1">
      <c r="A116" s="29" t="s">
        <v>82</v>
      </c>
      <c r="B116" s="29" t="s">
        <v>173</v>
      </c>
      <c r="C116" s="29" t="s">
        <v>191</v>
      </c>
    </row>
    <row r="117" spans="1:4" ht="15.75" hidden="1" customHeight="1">
      <c r="A117" s="29" t="s">
        <v>82</v>
      </c>
      <c r="B117" s="29" t="s">
        <v>77</v>
      </c>
      <c r="C117" s="29" t="s">
        <v>192</v>
      </c>
    </row>
    <row r="118" spans="1:4" ht="15.75" hidden="1" customHeight="1">
      <c r="A118" s="29" t="s">
        <v>82</v>
      </c>
      <c r="B118" s="29" t="s">
        <v>23</v>
      </c>
      <c r="C118" s="29" t="s">
        <v>192</v>
      </c>
    </row>
    <row r="119" spans="1:4" ht="15.75" hidden="1" customHeight="1">
      <c r="A119" s="29" t="s">
        <v>82</v>
      </c>
      <c r="B119" s="29" t="s">
        <v>34</v>
      </c>
      <c r="C119" s="29" t="s">
        <v>192</v>
      </c>
    </row>
    <row r="120" spans="1:4" ht="15.75" hidden="1" customHeight="1">
      <c r="A120" s="29" t="s">
        <v>62</v>
      </c>
      <c r="B120" s="29" t="s">
        <v>23</v>
      </c>
      <c r="C120" s="29" t="s">
        <v>230</v>
      </c>
    </row>
    <row r="121" spans="1:4" ht="15.75" hidden="1" customHeight="1">
      <c r="A121" s="29" t="s">
        <v>62</v>
      </c>
      <c r="B121" s="29" t="s">
        <v>64</v>
      </c>
      <c r="C121" s="29" t="s">
        <v>230</v>
      </c>
    </row>
    <row r="122" spans="1:4" ht="15.75" customHeight="1">
      <c r="A122" s="29" t="s">
        <v>62</v>
      </c>
      <c r="B122" s="29" t="s">
        <v>164</v>
      </c>
      <c r="C122" s="29" t="s">
        <v>190</v>
      </c>
    </row>
    <row r="123" spans="1:4" ht="15.75" customHeight="1">
      <c r="A123" s="57" t="s">
        <v>62</v>
      </c>
      <c r="B123" s="57" t="s">
        <v>172</v>
      </c>
      <c r="C123" s="57" t="s">
        <v>190</v>
      </c>
      <c r="D123" s="13" t="s">
        <v>233</v>
      </c>
    </row>
    <row r="124" spans="1:4" ht="15.75" hidden="1" customHeight="1">
      <c r="A124" s="29" t="s">
        <v>62</v>
      </c>
      <c r="B124" s="29" t="s">
        <v>165</v>
      </c>
      <c r="C124" s="29" t="s">
        <v>191</v>
      </c>
    </row>
    <row r="125" spans="1:4" ht="15.75" hidden="1" customHeight="1">
      <c r="A125" s="29" t="s">
        <v>62</v>
      </c>
      <c r="B125" s="29" t="s">
        <v>167</v>
      </c>
      <c r="C125" s="29" t="s">
        <v>191</v>
      </c>
    </row>
    <row r="126" spans="1:4" ht="15.75" hidden="1" customHeight="1">
      <c r="A126" s="29" t="s">
        <v>62</v>
      </c>
      <c r="B126" s="29" t="s">
        <v>77</v>
      </c>
      <c r="C126" s="29" t="s">
        <v>192</v>
      </c>
    </row>
    <row r="127" spans="1:4" ht="15.75" hidden="1" customHeight="1">
      <c r="A127" s="29" t="s">
        <v>62</v>
      </c>
      <c r="B127" s="29" t="s">
        <v>40</v>
      </c>
      <c r="C127" s="29" t="s">
        <v>192</v>
      </c>
    </row>
    <row r="128" spans="1:4" ht="15.75" hidden="1" customHeight="1">
      <c r="A128" s="29" t="s">
        <v>62</v>
      </c>
      <c r="B128" s="29" t="s">
        <v>219</v>
      </c>
      <c r="C128" s="29" t="s">
        <v>192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128" xr:uid="{00000000-0009-0000-0000-000007000000}">
    <filterColumn colId="2">
      <filters>
        <filter val="Top 3 Request (No Meeting)"/>
      </filters>
    </filterColumn>
  </autoFilter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Meeting List</vt:lpstr>
      <vt:lpstr>Invetsor View</vt:lpstr>
      <vt:lpstr>Founder View</vt:lpstr>
      <vt:lpstr>Work</vt:lpstr>
      <vt:lpstr>Attendance Sheet</vt:lpstr>
      <vt:lpstr>Investor Preferences</vt:lpstr>
      <vt:lpstr>Summary</vt:lpstr>
      <vt:lpstr>Long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Sebastian</cp:lastModifiedBy>
  <dcterms:modified xsi:type="dcterms:W3CDTF">2026-02-09T13:25:30Z</dcterms:modified>
</cp:coreProperties>
</file>